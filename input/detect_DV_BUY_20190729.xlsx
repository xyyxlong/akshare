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B877056C-FD2C-4B39-8CFE-89C2229C583B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2" r:id="rId1"/>
  </sheets>
  <calcPr calcId="191029"/>
</workbook>
</file>

<file path=xl/calcChain.xml><?xml version="1.0" encoding="utf-8"?>
<calcChain xmlns="http://schemas.openxmlformats.org/spreadsheetml/2006/main">
  <c r="F40" i="2" l="1"/>
  <c r="F41" i="2"/>
  <c r="F42" i="2"/>
  <c r="F43" i="2"/>
  <c r="F44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O1" i="2"/>
  <c r="Q1" i="2" s="1"/>
  <c r="G8" i="2" l="1"/>
  <c r="G27" i="2"/>
  <c r="G28" i="2"/>
  <c r="G29" i="2"/>
  <c r="G9" i="2"/>
  <c r="G11" i="2"/>
  <c r="G12" i="2"/>
  <c r="G13" i="2"/>
  <c r="G6" i="2"/>
  <c r="G44" i="2"/>
  <c r="G43" i="2"/>
  <c r="G25" i="2"/>
  <c r="G10" i="2"/>
  <c r="G26" i="2"/>
  <c r="G42" i="2"/>
  <c r="G41" i="2"/>
  <c r="G24" i="2"/>
  <c r="G40" i="2"/>
  <c r="G14" i="2"/>
  <c r="G30" i="2"/>
  <c r="G36" i="2"/>
  <c r="G23" i="2"/>
  <c r="G31" i="2"/>
  <c r="G15" i="2"/>
  <c r="G39" i="2"/>
  <c r="G7" i="2"/>
  <c r="G33" i="2"/>
  <c r="G2" i="2"/>
  <c r="G34" i="2"/>
  <c r="G3" i="2"/>
  <c r="G35" i="2"/>
  <c r="G4" i="2"/>
  <c r="G5" i="2"/>
  <c r="G21" i="2"/>
  <c r="G37" i="2"/>
  <c r="G16" i="2"/>
  <c r="G32" i="2"/>
  <c r="G17" i="2"/>
  <c r="G18" i="2"/>
  <c r="G19" i="2"/>
  <c r="G20" i="2"/>
  <c r="G22" i="2"/>
  <c r="G38" i="2"/>
  <c r="K2" i="2" l="1"/>
</calcChain>
</file>

<file path=xl/sharedStrings.xml><?xml version="1.0" encoding="utf-8"?>
<sst xmlns="http://schemas.openxmlformats.org/spreadsheetml/2006/main" count="99" uniqueCount="97">
  <si>
    <t>A股代码</t>
  </si>
  <si>
    <t>buydate</t>
  </si>
  <si>
    <t>price</t>
  </si>
  <si>
    <t>dv_ratio</t>
  </si>
  <si>
    <t>300%</t>
  </si>
  <si>
    <t>000651</t>
  </si>
  <si>
    <t>20220421</t>
  </si>
  <si>
    <t>000672</t>
  </si>
  <si>
    <t>20230530</t>
  </si>
  <si>
    <t>000937</t>
  </si>
  <si>
    <t>20191010</t>
  </si>
  <si>
    <t>000983</t>
  </si>
  <si>
    <t>20200518</t>
  </si>
  <si>
    <t>002001</t>
  </si>
  <si>
    <t>20230516</t>
  </si>
  <si>
    <t>002003</t>
  </si>
  <si>
    <t>20190729</t>
  </si>
  <si>
    <t>20190815</t>
  </si>
  <si>
    <t>002088</t>
  </si>
  <si>
    <t>20240823</t>
  </si>
  <si>
    <t>002216</t>
  </si>
  <si>
    <t>20240715</t>
  </si>
  <si>
    <t>002258</t>
  </si>
  <si>
    <t>20230630</t>
  </si>
  <si>
    <t>002293</t>
  </si>
  <si>
    <t>20240816</t>
  </si>
  <si>
    <t>002327</t>
  </si>
  <si>
    <t>20191009</t>
  </si>
  <si>
    <t>002677</t>
  </si>
  <si>
    <t>20240807</t>
  </si>
  <si>
    <t>002705</t>
  </si>
  <si>
    <t>20240821</t>
  </si>
  <si>
    <t>002749</t>
  </si>
  <si>
    <t>002756</t>
  </si>
  <si>
    <t>20250422</t>
  </si>
  <si>
    <t>002871</t>
  </si>
  <si>
    <t>20210305</t>
  </si>
  <si>
    <t>300390</t>
  </si>
  <si>
    <t>20240625</t>
  </si>
  <si>
    <t>300529</t>
  </si>
  <si>
    <t>300677</t>
  </si>
  <si>
    <t>20230713</t>
  </si>
  <si>
    <t>600089</t>
  </si>
  <si>
    <t>20240919</t>
  </si>
  <si>
    <t>600132</t>
  </si>
  <si>
    <t>20240909</t>
  </si>
  <si>
    <t>600256</t>
  </si>
  <si>
    <t>20191119</t>
  </si>
  <si>
    <t>600348</t>
  </si>
  <si>
    <t>20200416</t>
  </si>
  <si>
    <t>600438</t>
  </si>
  <si>
    <t>20240725</t>
  </si>
  <si>
    <t>600546</t>
  </si>
  <si>
    <t>20250624</t>
  </si>
  <si>
    <t>600566</t>
  </si>
  <si>
    <t>20210209</t>
  </si>
  <si>
    <t>600801</t>
  </si>
  <si>
    <t>20230517</t>
  </si>
  <si>
    <t>600867</t>
  </si>
  <si>
    <t>20220218</t>
  </si>
  <si>
    <t>601138</t>
  </si>
  <si>
    <t>20220420</t>
  </si>
  <si>
    <t>601636</t>
  </si>
  <si>
    <t>20231220</t>
  </si>
  <si>
    <t>601699</t>
  </si>
  <si>
    <t>20200417</t>
  </si>
  <si>
    <t>603301</t>
  </si>
  <si>
    <t>20240621</t>
  </si>
  <si>
    <t>603387</t>
  </si>
  <si>
    <t>20240619</t>
  </si>
  <si>
    <t>603515</t>
  </si>
  <si>
    <t>20220406</t>
  </si>
  <si>
    <t>603587</t>
  </si>
  <si>
    <t>20221014</t>
  </si>
  <si>
    <t>603599</t>
  </si>
  <si>
    <t>20240918</t>
  </si>
  <si>
    <t>603866</t>
  </si>
  <si>
    <t>603882</t>
  </si>
  <si>
    <t>20231018</t>
  </si>
  <si>
    <t>buy_k</t>
    <phoneticPr fontId="3" type="noConversion"/>
  </si>
  <si>
    <t>buymoney</t>
    <phoneticPr fontId="3" type="noConversion"/>
  </si>
  <si>
    <t>BUY_MAX_K</t>
    <phoneticPr fontId="3" type="noConversion"/>
  </si>
  <si>
    <t>BUY_MIN_K</t>
    <phoneticPr fontId="3" type="noConversion"/>
  </si>
  <si>
    <t>money</t>
    <phoneticPr fontId="3" type="noConversion"/>
  </si>
  <si>
    <t>buy_num</t>
    <phoneticPr fontId="3" type="noConversion"/>
  </si>
  <si>
    <t>av_money</t>
    <phoneticPr fontId="3" type="noConversion"/>
  </si>
  <si>
    <t>total</t>
    <phoneticPr fontId="3" type="noConversion"/>
  </si>
  <si>
    <t>601336</t>
  </si>
  <si>
    <t>20220419</t>
  </si>
  <si>
    <t>002236</t>
  </si>
  <si>
    <t>20220902</t>
  </si>
  <si>
    <t>600183</t>
  </si>
  <si>
    <t>20221012</t>
  </si>
  <si>
    <t>600598</t>
  </si>
  <si>
    <t>20240105</t>
  </si>
  <si>
    <t>300146</t>
  </si>
  <si>
    <t>20240910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</si>
</sst>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43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A7AC-FD1C-4DB7-BA1B-5DFB9B322B5E}">
  <dimension ref="A1:Q55"/>
  <sheetViews>
    <sheetView tabSelected="1" workbookViewId="0">
      <selection activeCell="L12" sqref="L12"/>
    </sheetView>
  </sheetViews>
  <sheetFormatPr defaultRowHeight="14.4" x14ac:dyDescent="0.25"/>
  <cols>
    <col min="6" max="6" width="11.6640625" bestFit="1" customWidth="1"/>
    <col min="7" max="7" width="13.88671875" bestFit="1" customWidth="1"/>
    <col min="8" max="8" width="11.6640625" bestFit="1" customWidth="1"/>
    <col min="9" max="9" width="6.6640625" customWidth="1"/>
    <col min="10" max="10" width="11.6640625" bestFit="1" customWidth="1"/>
    <col min="11" max="11" width="16.109375" bestFit="1" customWidth="1"/>
    <col min="13" max="13" width="12.77734375" bestFit="1" customWidth="1"/>
    <col min="15" max="15" width="9.5546875" bestFit="1" customWidth="1"/>
    <col min="17" max="17" width="10.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79</v>
      </c>
      <c r="G1" s="3" t="s">
        <v>80</v>
      </c>
      <c r="H1" s="3" t="s">
        <v>81</v>
      </c>
      <c r="I1">
        <v>2.2000000000000002</v>
      </c>
      <c r="J1" s="4" t="s">
        <v>82</v>
      </c>
      <c r="K1">
        <v>0.3</v>
      </c>
      <c r="L1" s="5" t="s">
        <v>83</v>
      </c>
      <c r="M1" s="6">
        <v>5000000</v>
      </c>
      <c r="N1" s="5" t="s">
        <v>84</v>
      </c>
      <c r="O1">
        <f>COUNTA(A2:A300)</f>
        <v>43</v>
      </c>
      <c r="P1" t="s">
        <v>85</v>
      </c>
      <c r="Q1" s="6">
        <f>M1/O1</f>
        <v>116279.06976744186</v>
      </c>
    </row>
    <row r="2" spans="1:17" x14ac:dyDescent="0.25">
      <c r="A2" t="s">
        <v>15</v>
      </c>
      <c r="B2" t="s">
        <v>16</v>
      </c>
      <c r="C2">
        <v>2.6</v>
      </c>
      <c r="D2" s="2">
        <v>6.0378999999999996</v>
      </c>
      <c r="E2" s="2">
        <v>35.07</v>
      </c>
      <c r="F2">
        <f>$I$1-E2*($I$1-$K$1)/100</f>
        <v>1.5336700000000001</v>
      </c>
      <c r="G2" s="7">
        <f>F2*$Q$1</f>
        <v>178333.72093023258</v>
      </c>
      <c r="J2" t="s">
        <v>86</v>
      </c>
      <c r="K2" s="7">
        <f>SUM(G2:G300)</f>
        <v>7920541.8604651187</v>
      </c>
    </row>
    <row r="3" spans="1:17" x14ac:dyDescent="0.25">
      <c r="A3" t="s">
        <v>32</v>
      </c>
      <c r="B3" t="s">
        <v>17</v>
      </c>
      <c r="C3">
        <v>6.52</v>
      </c>
      <c r="D3" s="2">
        <v>3.9365999999999999</v>
      </c>
      <c r="E3" s="2">
        <v>24.04</v>
      </c>
      <c r="F3">
        <f t="shared" ref="F3:F39" si="0">$I$1-E3*($I$1-$K$1)/100</f>
        <v>1.7432400000000001</v>
      </c>
      <c r="G3" s="7">
        <f t="shared" ref="G3:G39" si="1">F3*$Q$1</f>
        <v>202702.32558139536</v>
      </c>
    </row>
    <row r="4" spans="1:17" x14ac:dyDescent="0.25">
      <c r="A4" t="s">
        <v>26</v>
      </c>
      <c r="B4" t="s">
        <v>27</v>
      </c>
      <c r="C4">
        <v>3.22</v>
      </c>
      <c r="D4" s="2">
        <v>3.7229000000000001</v>
      </c>
      <c r="E4" s="2">
        <v>28.14</v>
      </c>
      <c r="F4">
        <f t="shared" si="0"/>
        <v>1.66534</v>
      </c>
      <c r="G4" s="7">
        <f t="shared" si="1"/>
        <v>193644.18604651163</v>
      </c>
    </row>
    <row r="5" spans="1:17" x14ac:dyDescent="0.25">
      <c r="A5" t="s">
        <v>9</v>
      </c>
      <c r="B5" t="s">
        <v>10</v>
      </c>
      <c r="C5">
        <v>-0.35</v>
      </c>
      <c r="D5" s="2">
        <v>2.8169</v>
      </c>
      <c r="E5" s="2">
        <v>29.33</v>
      </c>
      <c r="F5">
        <f t="shared" si="0"/>
        <v>1.6427300000000002</v>
      </c>
      <c r="G5" s="7">
        <f t="shared" si="1"/>
        <v>191015.1162790698</v>
      </c>
    </row>
    <row r="6" spans="1:17" x14ac:dyDescent="0.25">
      <c r="A6" t="s">
        <v>46</v>
      </c>
      <c r="B6" t="s">
        <v>47</v>
      </c>
      <c r="C6">
        <v>1.35</v>
      </c>
      <c r="D6" s="2">
        <v>1.5303</v>
      </c>
      <c r="E6" s="2">
        <v>27.09</v>
      </c>
      <c r="F6">
        <f t="shared" si="0"/>
        <v>1.6852900000000002</v>
      </c>
      <c r="G6" s="7">
        <f t="shared" si="1"/>
        <v>195963.95348837212</v>
      </c>
    </row>
    <row r="7" spans="1:17" x14ac:dyDescent="0.25">
      <c r="A7" t="s">
        <v>48</v>
      </c>
      <c r="B7" t="s">
        <v>49</v>
      </c>
      <c r="C7">
        <v>1.06</v>
      </c>
      <c r="D7" s="2">
        <v>6.1135000000000002</v>
      </c>
      <c r="E7" s="2">
        <v>16.64</v>
      </c>
      <c r="F7">
        <f t="shared" si="0"/>
        <v>1.8838400000000002</v>
      </c>
      <c r="G7" s="7">
        <f t="shared" si="1"/>
        <v>219051.16279069771</v>
      </c>
    </row>
    <row r="8" spans="1:17" x14ac:dyDescent="0.25">
      <c r="A8" t="s">
        <v>64</v>
      </c>
      <c r="B8" t="s">
        <v>65</v>
      </c>
      <c r="C8">
        <v>-7.0000000000000007E-2</v>
      </c>
      <c r="D8" s="2">
        <v>4.5500999999999996</v>
      </c>
      <c r="E8" s="2">
        <v>17.71</v>
      </c>
      <c r="F8">
        <f t="shared" si="0"/>
        <v>1.8635100000000002</v>
      </c>
      <c r="G8" s="7">
        <f t="shared" si="1"/>
        <v>216687.20930232562</v>
      </c>
    </row>
    <row r="9" spans="1:17" x14ac:dyDescent="0.25">
      <c r="A9" t="s">
        <v>11</v>
      </c>
      <c r="B9" t="s">
        <v>12</v>
      </c>
      <c r="C9">
        <v>0.66</v>
      </c>
      <c r="D9" s="2">
        <v>6.3425000000000002</v>
      </c>
      <c r="E9" s="2">
        <v>35.89</v>
      </c>
      <c r="F9">
        <f t="shared" si="0"/>
        <v>1.5180900000000002</v>
      </c>
      <c r="G9" s="7">
        <f t="shared" si="1"/>
        <v>176522.09302325585</v>
      </c>
    </row>
    <row r="10" spans="1:17" x14ac:dyDescent="0.25">
      <c r="A10" t="s">
        <v>54</v>
      </c>
      <c r="B10" t="s">
        <v>55</v>
      </c>
      <c r="C10">
        <v>13.95</v>
      </c>
      <c r="D10" s="2">
        <v>5.8348000000000004</v>
      </c>
      <c r="E10" s="2">
        <v>99.59</v>
      </c>
      <c r="F10">
        <f t="shared" si="0"/>
        <v>0.30778999999999979</v>
      </c>
      <c r="G10" s="7">
        <f t="shared" si="1"/>
        <v>35789.534883720909</v>
      </c>
    </row>
    <row r="11" spans="1:17" x14ac:dyDescent="0.25">
      <c r="A11" t="s">
        <v>35</v>
      </c>
      <c r="B11" t="s">
        <v>36</v>
      </c>
      <c r="C11">
        <v>5.76</v>
      </c>
      <c r="D11" s="2">
        <v>3.3247</v>
      </c>
      <c r="E11" s="2">
        <v>94.8</v>
      </c>
      <c r="F11">
        <f t="shared" si="0"/>
        <v>0.39880000000000004</v>
      </c>
      <c r="G11" s="7">
        <f t="shared" si="1"/>
        <v>46372.093023255817</v>
      </c>
    </row>
    <row r="12" spans="1:17" x14ac:dyDescent="0.25">
      <c r="A12" t="s">
        <v>58</v>
      </c>
      <c r="B12" t="s">
        <v>59</v>
      </c>
      <c r="C12">
        <v>9.16</v>
      </c>
      <c r="D12" s="2">
        <v>2.0219999999999998</v>
      </c>
      <c r="E12" s="2">
        <v>52.8</v>
      </c>
      <c r="F12">
        <f t="shared" si="0"/>
        <v>1.1968000000000001</v>
      </c>
      <c r="G12" s="7">
        <f t="shared" si="1"/>
        <v>139162.79069767444</v>
      </c>
    </row>
    <row r="13" spans="1:17" x14ac:dyDescent="0.25">
      <c r="A13" t="s">
        <v>70</v>
      </c>
      <c r="B13" t="s">
        <v>71</v>
      </c>
      <c r="C13">
        <v>15.86</v>
      </c>
      <c r="D13" s="2">
        <v>2.6642000000000001</v>
      </c>
      <c r="E13" s="2">
        <v>22.12</v>
      </c>
      <c r="F13">
        <f t="shared" si="0"/>
        <v>1.7797200000000002</v>
      </c>
      <c r="G13" s="7">
        <f t="shared" si="1"/>
        <v>206944.18604651166</v>
      </c>
    </row>
    <row r="14" spans="1:17" x14ac:dyDescent="0.25">
      <c r="A14" t="s">
        <v>87</v>
      </c>
      <c r="B14" t="s">
        <v>88</v>
      </c>
      <c r="C14">
        <v>30.99</v>
      </c>
      <c r="D14" s="2">
        <v>3.9828000000000001</v>
      </c>
      <c r="E14" s="2">
        <v>8.93</v>
      </c>
      <c r="F14">
        <f t="shared" si="0"/>
        <v>2.0303300000000002</v>
      </c>
      <c r="G14" s="7">
        <f t="shared" si="1"/>
        <v>236084.88372093026</v>
      </c>
    </row>
    <row r="15" spans="1:17" x14ac:dyDescent="0.25">
      <c r="A15" t="s">
        <v>60</v>
      </c>
      <c r="B15" t="s">
        <v>61</v>
      </c>
      <c r="C15">
        <v>8.2200000000000006</v>
      </c>
      <c r="D15" s="2">
        <v>2.5383</v>
      </c>
      <c r="E15" s="2">
        <v>5.22</v>
      </c>
      <c r="F15">
        <f t="shared" si="0"/>
        <v>2.1008200000000001</v>
      </c>
      <c r="G15" s="7">
        <f t="shared" si="1"/>
        <v>244281.39534883722</v>
      </c>
    </row>
    <row r="16" spans="1:17" x14ac:dyDescent="0.25">
      <c r="A16" t="s">
        <v>5</v>
      </c>
      <c r="B16" t="s">
        <v>6</v>
      </c>
      <c r="C16">
        <v>23.85</v>
      </c>
      <c r="D16" s="2">
        <v>9.0841999999999992</v>
      </c>
      <c r="E16" s="2">
        <v>3.98</v>
      </c>
      <c r="F16">
        <f t="shared" si="0"/>
        <v>2.1243800000000004</v>
      </c>
      <c r="G16" s="7">
        <f t="shared" si="1"/>
        <v>247020.9302325582</v>
      </c>
    </row>
    <row r="17" spans="1:7" x14ac:dyDescent="0.25">
      <c r="A17" t="s">
        <v>89</v>
      </c>
      <c r="B17" t="s">
        <v>90</v>
      </c>
      <c r="C17">
        <v>13.06</v>
      </c>
      <c r="D17" s="2">
        <v>1.8091999999999999</v>
      </c>
      <c r="E17" s="2">
        <v>2.0499999999999998</v>
      </c>
      <c r="F17">
        <f t="shared" si="0"/>
        <v>2.1610500000000004</v>
      </c>
      <c r="G17" s="7">
        <f t="shared" si="1"/>
        <v>251284.88372093029</v>
      </c>
    </row>
    <row r="18" spans="1:7" x14ac:dyDescent="0.25">
      <c r="A18" t="s">
        <v>91</v>
      </c>
      <c r="B18" t="s">
        <v>92</v>
      </c>
      <c r="C18">
        <v>11.74</v>
      </c>
      <c r="D18" s="2">
        <v>2.9754999999999998</v>
      </c>
      <c r="E18" s="2">
        <v>0.41</v>
      </c>
      <c r="F18">
        <f t="shared" si="0"/>
        <v>2.1922100000000002</v>
      </c>
      <c r="G18" s="7">
        <f t="shared" si="1"/>
        <v>254908.13953488375</v>
      </c>
    </row>
    <row r="19" spans="1:7" x14ac:dyDescent="0.25">
      <c r="A19" t="s">
        <v>72</v>
      </c>
      <c r="B19" t="s">
        <v>73</v>
      </c>
      <c r="C19">
        <v>12.13</v>
      </c>
      <c r="D19" s="2">
        <v>5.6590999999999996</v>
      </c>
      <c r="E19" s="2">
        <v>1.37</v>
      </c>
      <c r="F19">
        <f t="shared" si="0"/>
        <v>2.1739700000000002</v>
      </c>
      <c r="G19" s="7">
        <f t="shared" si="1"/>
        <v>252787.20930232562</v>
      </c>
    </row>
    <row r="20" spans="1:7" x14ac:dyDescent="0.25">
      <c r="A20" t="s">
        <v>13</v>
      </c>
      <c r="B20" t="s">
        <v>14</v>
      </c>
      <c r="C20">
        <v>14.94</v>
      </c>
      <c r="D20" s="2">
        <v>3.4982000000000002</v>
      </c>
      <c r="E20" s="2">
        <v>25.69</v>
      </c>
      <c r="F20">
        <f t="shared" si="0"/>
        <v>1.7118900000000001</v>
      </c>
      <c r="G20" s="7">
        <f t="shared" si="1"/>
        <v>199056.97674418607</v>
      </c>
    </row>
    <row r="21" spans="1:7" x14ac:dyDescent="0.25">
      <c r="A21" t="s">
        <v>39</v>
      </c>
      <c r="B21" t="s">
        <v>14</v>
      </c>
      <c r="C21">
        <v>27.47</v>
      </c>
      <c r="D21" s="2">
        <v>3.0295999999999998</v>
      </c>
      <c r="E21" s="2">
        <v>25.69</v>
      </c>
      <c r="F21">
        <f t="shared" si="0"/>
        <v>1.7118900000000001</v>
      </c>
      <c r="G21" s="7">
        <f t="shared" si="1"/>
        <v>199056.97674418607</v>
      </c>
    </row>
    <row r="22" spans="1:7" x14ac:dyDescent="0.25">
      <c r="A22" t="s">
        <v>56</v>
      </c>
      <c r="B22" t="s">
        <v>57</v>
      </c>
      <c r="C22">
        <v>12.46</v>
      </c>
      <c r="D22" s="2">
        <v>7.1546000000000003</v>
      </c>
      <c r="E22" s="2">
        <v>23.46</v>
      </c>
      <c r="F22">
        <f t="shared" si="0"/>
        <v>1.7542600000000002</v>
      </c>
      <c r="G22" s="7">
        <f t="shared" si="1"/>
        <v>203983.72093023258</v>
      </c>
    </row>
    <row r="23" spans="1:7" x14ac:dyDescent="0.25">
      <c r="A23" t="s">
        <v>7</v>
      </c>
      <c r="B23" t="s">
        <v>8</v>
      </c>
      <c r="C23">
        <v>8.66</v>
      </c>
      <c r="D23" s="2">
        <v>6.8871000000000002</v>
      </c>
      <c r="E23" s="2">
        <v>14.7</v>
      </c>
      <c r="F23">
        <f t="shared" si="0"/>
        <v>1.9207000000000001</v>
      </c>
      <c r="G23" s="7">
        <f t="shared" si="1"/>
        <v>223337.20930232559</v>
      </c>
    </row>
    <row r="24" spans="1:7" x14ac:dyDescent="0.25">
      <c r="A24" t="s">
        <v>22</v>
      </c>
      <c r="B24" t="s">
        <v>23</v>
      </c>
      <c r="C24">
        <v>12.71</v>
      </c>
      <c r="D24" s="2">
        <v>2.5573999999999999</v>
      </c>
      <c r="E24" s="2">
        <v>13.7</v>
      </c>
      <c r="F24">
        <f t="shared" si="0"/>
        <v>1.9397000000000002</v>
      </c>
      <c r="G24" s="7">
        <f t="shared" si="1"/>
        <v>225546.51162790699</v>
      </c>
    </row>
    <row r="25" spans="1:7" x14ac:dyDescent="0.25">
      <c r="A25" t="s">
        <v>40</v>
      </c>
      <c r="B25" t="s">
        <v>41</v>
      </c>
      <c r="C25">
        <v>20.94</v>
      </c>
      <c r="D25" s="2">
        <v>2.9550000000000001</v>
      </c>
      <c r="E25" s="2">
        <v>20.27</v>
      </c>
      <c r="F25">
        <f t="shared" si="0"/>
        <v>1.8148700000000002</v>
      </c>
      <c r="G25" s="7">
        <f t="shared" si="1"/>
        <v>211031.39534883725</v>
      </c>
    </row>
    <row r="26" spans="1:7" x14ac:dyDescent="0.25">
      <c r="A26" t="s">
        <v>77</v>
      </c>
      <c r="B26" t="s">
        <v>78</v>
      </c>
      <c r="C26">
        <v>58.58</v>
      </c>
      <c r="D26" s="2">
        <v>2.1082000000000001</v>
      </c>
      <c r="E26" s="2">
        <v>11.66</v>
      </c>
      <c r="F26">
        <f t="shared" si="0"/>
        <v>1.9784600000000001</v>
      </c>
      <c r="G26" s="7">
        <f t="shared" si="1"/>
        <v>230053.48837209304</v>
      </c>
    </row>
    <row r="27" spans="1:7" x14ac:dyDescent="0.25">
      <c r="A27" t="s">
        <v>62</v>
      </c>
      <c r="B27" t="s">
        <v>63</v>
      </c>
      <c r="C27">
        <v>6.26</v>
      </c>
      <c r="D27" s="2">
        <v>12.0181</v>
      </c>
      <c r="E27" s="2">
        <v>1.23</v>
      </c>
      <c r="F27">
        <f t="shared" si="0"/>
        <v>2.1766300000000003</v>
      </c>
      <c r="G27" s="7">
        <f t="shared" si="1"/>
        <v>253096.51162790702</v>
      </c>
    </row>
    <row r="28" spans="1:7" x14ac:dyDescent="0.25">
      <c r="A28" t="s">
        <v>93</v>
      </c>
      <c r="B28" t="s">
        <v>94</v>
      </c>
      <c r="C28">
        <v>10.95</v>
      </c>
      <c r="D28" s="2">
        <v>3.5175999999999998</v>
      </c>
      <c r="E28" s="2">
        <v>4.1100000000000003</v>
      </c>
      <c r="F28">
        <f t="shared" si="0"/>
        <v>2.1219100000000002</v>
      </c>
      <c r="G28" s="7">
        <f t="shared" si="1"/>
        <v>246733.72093023258</v>
      </c>
    </row>
    <row r="29" spans="1:7" x14ac:dyDescent="0.25">
      <c r="A29" t="s">
        <v>68</v>
      </c>
      <c r="B29" t="s">
        <v>69</v>
      </c>
      <c r="C29">
        <v>7.98</v>
      </c>
      <c r="D29" s="2">
        <v>4.9020000000000001</v>
      </c>
      <c r="E29" s="2">
        <v>62.45</v>
      </c>
      <c r="F29">
        <f t="shared" si="0"/>
        <v>1.01345</v>
      </c>
      <c r="G29" s="7">
        <f t="shared" si="1"/>
        <v>117843.02325581395</v>
      </c>
    </row>
    <row r="30" spans="1:7" x14ac:dyDescent="0.25">
      <c r="A30" t="s">
        <v>66</v>
      </c>
      <c r="B30" t="s">
        <v>67</v>
      </c>
      <c r="C30">
        <v>18.920000000000002</v>
      </c>
      <c r="D30" s="2">
        <v>7.4702000000000002</v>
      </c>
      <c r="E30" s="2">
        <v>58.98</v>
      </c>
      <c r="F30">
        <f t="shared" si="0"/>
        <v>1.0793800000000002</v>
      </c>
      <c r="G30" s="7">
        <f t="shared" si="1"/>
        <v>125509.30232558142</v>
      </c>
    </row>
    <row r="31" spans="1:7" x14ac:dyDescent="0.25">
      <c r="A31" t="s">
        <v>37</v>
      </c>
      <c r="B31" t="s">
        <v>38</v>
      </c>
      <c r="C31">
        <v>16.489999999999998</v>
      </c>
      <c r="D31" s="2">
        <v>8.8952000000000009</v>
      </c>
      <c r="E31" s="2">
        <v>56.95</v>
      </c>
      <c r="F31">
        <f t="shared" si="0"/>
        <v>1.11795</v>
      </c>
      <c r="G31" s="7">
        <f t="shared" si="1"/>
        <v>129994.18604651163</v>
      </c>
    </row>
    <row r="32" spans="1:7" x14ac:dyDescent="0.25">
      <c r="A32" t="s">
        <v>20</v>
      </c>
      <c r="B32" t="s">
        <v>21</v>
      </c>
      <c r="C32">
        <v>10.77</v>
      </c>
      <c r="D32" s="2">
        <v>3.1617000000000002</v>
      </c>
      <c r="E32" s="2">
        <v>69.19</v>
      </c>
      <c r="F32">
        <f t="shared" si="0"/>
        <v>0.88539000000000012</v>
      </c>
      <c r="G32" s="7">
        <f t="shared" si="1"/>
        <v>102952.32558139536</v>
      </c>
    </row>
    <row r="33" spans="1:7" x14ac:dyDescent="0.25">
      <c r="A33" t="s">
        <v>50</v>
      </c>
      <c r="B33" t="s">
        <v>51</v>
      </c>
      <c r="C33">
        <v>17.68</v>
      </c>
      <c r="D33" s="2">
        <v>16.165099999999999</v>
      </c>
      <c r="E33" s="2">
        <v>53.16</v>
      </c>
      <c r="F33">
        <f t="shared" si="0"/>
        <v>1.1899600000000001</v>
      </c>
      <c r="G33" s="7">
        <f t="shared" si="1"/>
        <v>138367.44186046513</v>
      </c>
    </row>
    <row r="34" spans="1:7" x14ac:dyDescent="0.25">
      <c r="A34" t="s">
        <v>76</v>
      </c>
      <c r="B34" t="s">
        <v>51</v>
      </c>
      <c r="C34">
        <v>5.08</v>
      </c>
      <c r="D34" s="2">
        <v>6.2538999999999998</v>
      </c>
      <c r="E34" s="2">
        <v>53.16</v>
      </c>
      <c r="F34">
        <f t="shared" si="0"/>
        <v>1.1899600000000001</v>
      </c>
      <c r="G34" s="7">
        <f t="shared" si="1"/>
        <v>138367.44186046513</v>
      </c>
    </row>
    <row r="35" spans="1:7" x14ac:dyDescent="0.25">
      <c r="A35" t="s">
        <v>28</v>
      </c>
      <c r="B35" t="s">
        <v>29</v>
      </c>
      <c r="C35">
        <v>6.9</v>
      </c>
      <c r="D35" s="2">
        <v>8.6111000000000004</v>
      </c>
      <c r="E35" s="2">
        <v>36.86</v>
      </c>
      <c r="F35">
        <f t="shared" si="0"/>
        <v>1.49966</v>
      </c>
      <c r="G35" s="7">
        <f t="shared" si="1"/>
        <v>174379.06976744186</v>
      </c>
    </row>
    <row r="36" spans="1:7" x14ac:dyDescent="0.25">
      <c r="A36" t="s">
        <v>24</v>
      </c>
      <c r="B36" t="s">
        <v>25</v>
      </c>
      <c r="C36">
        <v>6.74</v>
      </c>
      <c r="D36" s="2">
        <v>8.2619000000000007</v>
      </c>
      <c r="E36" s="2">
        <v>45.13</v>
      </c>
      <c r="F36">
        <f t="shared" si="0"/>
        <v>1.34253</v>
      </c>
      <c r="G36" s="7">
        <f t="shared" si="1"/>
        <v>156108.13953488372</v>
      </c>
    </row>
    <row r="37" spans="1:7" x14ac:dyDescent="0.25">
      <c r="A37" t="s">
        <v>30</v>
      </c>
      <c r="B37" t="s">
        <v>31</v>
      </c>
      <c r="C37">
        <v>11.91</v>
      </c>
      <c r="D37" s="2">
        <v>3.2553999999999998</v>
      </c>
      <c r="E37" s="2">
        <v>44.57</v>
      </c>
      <c r="F37">
        <f t="shared" si="0"/>
        <v>1.35317</v>
      </c>
      <c r="G37" s="7">
        <f t="shared" si="1"/>
        <v>157345.34883720931</v>
      </c>
    </row>
    <row r="38" spans="1:7" x14ac:dyDescent="0.25">
      <c r="A38" t="s">
        <v>18</v>
      </c>
      <c r="B38" t="s">
        <v>19</v>
      </c>
      <c r="C38">
        <v>9.68</v>
      </c>
      <c r="D38" s="2">
        <v>7.5509000000000004</v>
      </c>
      <c r="E38" s="2">
        <v>45.13</v>
      </c>
      <c r="F38">
        <f t="shared" si="0"/>
        <v>1.34253</v>
      </c>
      <c r="G38" s="7">
        <f t="shared" si="1"/>
        <v>156108.13953488372</v>
      </c>
    </row>
    <row r="39" spans="1:7" x14ac:dyDescent="0.25">
      <c r="A39" t="s">
        <v>44</v>
      </c>
      <c r="B39" t="s">
        <v>45</v>
      </c>
      <c r="C39">
        <v>49.95</v>
      </c>
      <c r="D39" s="2">
        <v>4.9665999999999997</v>
      </c>
      <c r="E39" s="2">
        <v>10.59</v>
      </c>
      <c r="F39">
        <f t="shared" si="0"/>
        <v>1.9987900000000001</v>
      </c>
      <c r="G39" s="7">
        <f t="shared" si="1"/>
        <v>232417.44186046513</v>
      </c>
    </row>
    <row r="40" spans="1:7" x14ac:dyDescent="0.25">
      <c r="A40" t="s">
        <v>95</v>
      </c>
      <c r="B40" t="s">
        <v>96</v>
      </c>
      <c r="C40">
        <v>10.41</v>
      </c>
      <c r="D40" s="2">
        <v>1.6709000000000001</v>
      </c>
      <c r="E40" s="2">
        <v>11.55</v>
      </c>
      <c r="F40">
        <f t="shared" ref="F40:F44" si="2">$I$1-E40*($I$1-$K$1)/100</f>
        <v>1.98055</v>
      </c>
      <c r="G40" s="7">
        <f t="shared" ref="G40:G44" si="3">F40*$Q$1</f>
        <v>230296.51162790699</v>
      </c>
    </row>
    <row r="41" spans="1:7" x14ac:dyDescent="0.25">
      <c r="A41" t="s">
        <v>74</v>
      </c>
      <c r="B41" t="s">
        <v>75</v>
      </c>
      <c r="C41">
        <v>9.4600000000000009</v>
      </c>
      <c r="D41" s="2">
        <v>7.3418000000000001</v>
      </c>
      <c r="E41" s="2">
        <v>11.03</v>
      </c>
      <c r="F41">
        <f t="shared" si="2"/>
        <v>1.9904300000000001</v>
      </c>
      <c r="G41" s="7">
        <f t="shared" si="3"/>
        <v>231445.34883720931</v>
      </c>
    </row>
    <row r="42" spans="1:7" x14ac:dyDescent="0.25">
      <c r="A42" t="s">
        <v>42</v>
      </c>
      <c r="B42" t="s">
        <v>43</v>
      </c>
      <c r="C42">
        <v>11.99</v>
      </c>
      <c r="D42" s="2">
        <v>7.1496000000000004</v>
      </c>
      <c r="E42" s="2">
        <v>11.98</v>
      </c>
      <c r="F42">
        <f t="shared" si="2"/>
        <v>1.9723800000000002</v>
      </c>
      <c r="G42" s="7">
        <f t="shared" si="3"/>
        <v>229346.51162790702</v>
      </c>
    </row>
    <row r="43" spans="1:7" x14ac:dyDescent="0.25">
      <c r="A43" t="s">
        <v>33</v>
      </c>
      <c r="B43" t="s">
        <v>34</v>
      </c>
      <c r="C43">
        <v>29.66</v>
      </c>
      <c r="D43" s="2">
        <v>8.1631999999999998</v>
      </c>
      <c r="E43" s="2">
        <v>79.37</v>
      </c>
      <c r="F43">
        <f t="shared" si="2"/>
        <v>0.69196999999999997</v>
      </c>
      <c r="G43" s="7">
        <f t="shared" si="3"/>
        <v>80461.627906976748</v>
      </c>
    </row>
    <row r="44" spans="1:7" x14ac:dyDescent="0.25">
      <c r="A44" t="s">
        <v>52</v>
      </c>
      <c r="B44" t="s">
        <v>53</v>
      </c>
      <c r="C44">
        <v>8.59</v>
      </c>
      <c r="D44" s="2">
        <v>7.5669000000000004</v>
      </c>
      <c r="E44" s="2">
        <v>98.07</v>
      </c>
      <c r="F44">
        <f t="shared" si="2"/>
        <v>0.33667000000000025</v>
      </c>
      <c r="G44" s="7">
        <f t="shared" si="3"/>
        <v>39147.674418604678</v>
      </c>
    </row>
    <row r="45" spans="1:7" x14ac:dyDescent="0.25">
      <c r="G45" s="7"/>
    </row>
    <row r="46" spans="1:7" x14ac:dyDescent="0.25">
      <c r="G46" s="7"/>
    </row>
    <row r="47" spans="1:7" x14ac:dyDescent="0.25">
      <c r="G47" s="7"/>
    </row>
    <row r="48" spans="1:7" x14ac:dyDescent="0.25">
      <c r="G48" s="7"/>
    </row>
    <row r="49" spans="7:7" x14ac:dyDescent="0.25">
      <c r="G49" s="7"/>
    </row>
    <row r="50" spans="7:7" x14ac:dyDescent="0.25">
      <c r="G50" s="7"/>
    </row>
    <row r="51" spans="7:7" x14ac:dyDescent="0.25">
      <c r="G51" s="7"/>
    </row>
    <row r="52" spans="7:7" x14ac:dyDescent="0.25">
      <c r="G52" s="7"/>
    </row>
    <row r="53" spans="7:7" x14ac:dyDescent="0.25">
      <c r="G53" s="7"/>
    </row>
    <row r="54" spans="7:7" x14ac:dyDescent="0.25">
      <c r="G54" s="7"/>
    </row>
    <row r="55" spans="7:7" x14ac:dyDescent="0.25">
      <c r="G55" s="7"/>
    </row>
  </sheetData>
  <sortState ref="A2:E39">
    <sortCondition ref="B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2025-07-09T09:35:02Z</dcterms:created>
  <dcterms:modified xsi:type="dcterms:W3CDTF">2025-07-09T11:10:14Z</dcterms:modified>
</cp:coreProperties>
</file>