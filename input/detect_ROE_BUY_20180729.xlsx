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D64C7E33-6C58-443D-B445-E98C38F46F0E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definedNames>
    <definedName name="_xlnm._FilterDatabase" localSheetId="0" hidden="1">信号列表!$A$1:$E$1</definedName>
  </definedName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  <c r="O1" i="1"/>
  <c r="Q1" i="1" s="1"/>
  <c r="G40" i="1" l="1"/>
  <c r="G12" i="1"/>
  <c r="G28" i="1"/>
  <c r="G43" i="1"/>
  <c r="G16" i="1"/>
  <c r="G45" i="1"/>
  <c r="G8" i="1"/>
  <c r="G32" i="1"/>
  <c r="G15" i="1"/>
  <c r="G13" i="1"/>
  <c r="G27" i="1"/>
  <c r="G26" i="1"/>
  <c r="G24" i="1"/>
  <c r="G23" i="1"/>
  <c r="G38" i="1"/>
  <c r="G22" i="1"/>
  <c r="G7" i="1"/>
  <c r="G30" i="1"/>
  <c r="G44" i="1"/>
  <c r="G11" i="1"/>
  <c r="G10" i="1"/>
  <c r="G39" i="1"/>
  <c r="G37" i="1"/>
  <c r="G21" i="1"/>
  <c r="G6" i="1"/>
  <c r="G17" i="1"/>
  <c r="G14" i="1"/>
  <c r="G36" i="1"/>
  <c r="G20" i="1"/>
  <c r="G5" i="1"/>
  <c r="G2" i="1"/>
  <c r="G41" i="1"/>
  <c r="G9" i="1"/>
  <c r="G35" i="1"/>
  <c r="G19" i="1"/>
  <c r="G4" i="1"/>
  <c r="G33" i="1"/>
  <c r="G31" i="1"/>
  <c r="G29" i="1"/>
  <c r="G42" i="1"/>
  <c r="G25" i="1"/>
  <c r="G34" i="1"/>
  <c r="G18" i="1"/>
  <c r="G3" i="1"/>
  <c r="K2" i="1" l="1"/>
</calcChain>
</file>

<file path=xl/sharedStrings.xml><?xml version="1.0" encoding="utf-8"?>
<sst xmlns="http://schemas.openxmlformats.org/spreadsheetml/2006/main" count="101" uniqueCount="89">
  <si>
    <t>A股代码</t>
  </si>
  <si>
    <t>buydate</t>
  </si>
  <si>
    <t>price</t>
  </si>
  <si>
    <t>dv_ratio</t>
  </si>
  <si>
    <t>300%</t>
  </si>
  <si>
    <t>000049</t>
  </si>
  <si>
    <t>000937</t>
  </si>
  <si>
    <t>000983</t>
  </si>
  <si>
    <t>002216</t>
  </si>
  <si>
    <t>002432</t>
  </si>
  <si>
    <t>002466</t>
  </si>
  <si>
    <t>002705</t>
  </si>
  <si>
    <t>002749</t>
  </si>
  <si>
    <t>600089</t>
  </si>
  <si>
    <t>600348</t>
  </si>
  <si>
    <t>600731</t>
  </si>
  <si>
    <t>601001</t>
  </si>
  <si>
    <t>601918</t>
  </si>
  <si>
    <t>603599</t>
  </si>
  <si>
    <t>BUY_MAX_K</t>
    <phoneticPr fontId="2" type="noConversion"/>
  </si>
  <si>
    <t>BUY_MIN_K</t>
    <phoneticPr fontId="2" type="noConversion"/>
  </si>
  <si>
    <t>buy_num</t>
    <phoneticPr fontId="2" type="noConversion"/>
  </si>
  <si>
    <t>money</t>
    <phoneticPr fontId="2" type="noConversion"/>
  </si>
  <si>
    <t>total</t>
    <phoneticPr fontId="2" type="noConversion"/>
  </si>
  <si>
    <t>buymoney</t>
    <phoneticPr fontId="2" type="noConversion"/>
  </si>
  <si>
    <t>buy_k</t>
    <phoneticPr fontId="2" type="noConversion"/>
  </si>
  <si>
    <t>av_money</t>
    <phoneticPr fontId="2" type="noConversion"/>
  </si>
  <si>
    <t>603611</t>
  </si>
  <si>
    <t>20180823</t>
  </si>
  <si>
    <t>603600</t>
  </si>
  <si>
    <t>20180824</t>
  </si>
  <si>
    <t>20180814</t>
  </si>
  <si>
    <t>603355</t>
  </si>
  <si>
    <t>20180820</t>
  </si>
  <si>
    <t>603100</t>
  </si>
  <si>
    <t>20180709</t>
  </si>
  <si>
    <t>601919</t>
  </si>
  <si>
    <t>20181224</t>
  </si>
  <si>
    <t>601872</t>
  </si>
  <si>
    <t>20180827</t>
  </si>
  <si>
    <t>601666</t>
  </si>
  <si>
    <t>20181130</t>
  </si>
  <si>
    <t>601216</t>
  </si>
  <si>
    <t>20180906</t>
  </si>
  <si>
    <t>601168</t>
  </si>
  <si>
    <t>20180913</t>
  </si>
  <si>
    <t>601058</t>
  </si>
  <si>
    <t>20181217</t>
  </si>
  <si>
    <t>600993</t>
  </si>
  <si>
    <t>600873</t>
  </si>
  <si>
    <t>600750</t>
  </si>
  <si>
    <t>20180829</t>
  </si>
  <si>
    <t>20180710</t>
  </si>
  <si>
    <t>600662</t>
  </si>
  <si>
    <t>20180706</t>
  </si>
  <si>
    <t>600461</t>
  </si>
  <si>
    <t>20180910</t>
  </si>
  <si>
    <t>20181211</t>
  </si>
  <si>
    <t>600096</t>
  </si>
  <si>
    <t>20180716</t>
  </si>
  <si>
    <t>20180720</t>
  </si>
  <si>
    <t>300453</t>
  </si>
  <si>
    <t>20180821</t>
  </si>
  <si>
    <t>300019</t>
  </si>
  <si>
    <t>20180704</t>
  </si>
  <si>
    <t>20181127</t>
  </si>
  <si>
    <t>20180920</t>
  </si>
  <si>
    <t>002605</t>
  </si>
  <si>
    <t>20180809</t>
  </si>
  <si>
    <t>002532</t>
  </si>
  <si>
    <t>20180803</t>
  </si>
  <si>
    <t>20190528</t>
  </si>
  <si>
    <t>20180817</t>
  </si>
  <si>
    <t>002351</t>
  </si>
  <si>
    <t>002315</t>
  </si>
  <si>
    <t>002275</t>
  </si>
  <si>
    <t>20181030</t>
  </si>
  <si>
    <t>002274</t>
  </si>
  <si>
    <t>20180904</t>
  </si>
  <si>
    <t>002080</t>
  </si>
  <si>
    <t>002014</t>
  </si>
  <si>
    <t>20181221</t>
  </si>
  <si>
    <t>20180713</t>
  </si>
  <si>
    <t>000933</t>
  </si>
  <si>
    <t>20190103</t>
  </si>
  <si>
    <t>000915</t>
  </si>
  <si>
    <t>000885</t>
  </si>
  <si>
    <t>20180911</t>
  </si>
  <si>
    <t>000529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</si>
</sst>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activeCell="J11" sqref="J11"/>
    </sheetView>
  </sheetViews>
  <sheetFormatPr defaultRowHeight="14.4" x14ac:dyDescent="0.25"/>
  <cols>
    <col min="6" max="6" width="11.6640625" bestFit="1" customWidth="1"/>
    <col min="7" max="7" width="13.88671875" bestFit="1" customWidth="1"/>
    <col min="8" max="8" width="11.6640625" bestFit="1" customWidth="1"/>
    <col min="9" max="9" width="6.6640625" customWidth="1"/>
    <col min="10" max="10" width="11.6640625" bestFit="1" customWidth="1"/>
    <col min="11" max="11" width="16.109375" bestFit="1" customWidth="1"/>
    <col min="13" max="13" width="12.77734375" bestFit="1" customWidth="1"/>
    <col min="15" max="15" width="9.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25</v>
      </c>
      <c r="G1" s="3" t="s">
        <v>24</v>
      </c>
      <c r="H1" s="3" t="s">
        <v>19</v>
      </c>
      <c r="I1">
        <v>2</v>
      </c>
      <c r="J1" s="4" t="s">
        <v>20</v>
      </c>
      <c r="K1">
        <v>0.3</v>
      </c>
      <c r="L1" s="5" t="s">
        <v>22</v>
      </c>
      <c r="M1" s="6">
        <v>5000000</v>
      </c>
      <c r="N1" s="5" t="s">
        <v>21</v>
      </c>
      <c r="O1">
        <f>COUNTA(A2:A290)</f>
        <v>44</v>
      </c>
      <c r="P1" t="s">
        <v>26</v>
      </c>
      <c r="Q1" s="6">
        <f>M1/O1</f>
        <v>113636.36363636363</v>
      </c>
    </row>
    <row r="2" spans="1:17" x14ac:dyDescent="0.25">
      <c r="A2" t="s">
        <v>27</v>
      </c>
      <c r="B2" t="s">
        <v>28</v>
      </c>
      <c r="C2">
        <v>2.6</v>
      </c>
      <c r="D2" s="2">
        <v>6.0378999999999996</v>
      </c>
      <c r="E2" s="2">
        <v>35.07</v>
      </c>
      <c r="F2">
        <f>$I$1-E2*($I$1-$K$1)/100</f>
        <v>1.40381</v>
      </c>
      <c r="G2" s="7">
        <f>F2*$Q$1</f>
        <v>159523.86363636362</v>
      </c>
      <c r="J2" t="s">
        <v>23</v>
      </c>
      <c r="K2" s="7">
        <f>SUM(G2:G290)</f>
        <v>7644051.1363636358</v>
      </c>
    </row>
    <row r="3" spans="1:17" x14ac:dyDescent="0.25">
      <c r="A3" t="s">
        <v>29</v>
      </c>
      <c r="B3" t="s">
        <v>30</v>
      </c>
      <c r="C3">
        <v>6.52</v>
      </c>
      <c r="D3" s="2">
        <v>3.9365999999999999</v>
      </c>
      <c r="E3" s="2">
        <v>24.04</v>
      </c>
      <c r="F3">
        <f t="shared" ref="F3:F45" si="0">$I$1-E3*($I$1-$K$1)/100</f>
        <v>1.5913200000000001</v>
      </c>
      <c r="G3" s="7">
        <f t="shared" ref="G3:G45" si="1">F3*$Q$1</f>
        <v>180831.81818181818</v>
      </c>
    </row>
    <row r="4" spans="1:17" x14ac:dyDescent="0.25">
      <c r="A4" t="s">
        <v>18</v>
      </c>
      <c r="B4" t="s">
        <v>31</v>
      </c>
      <c r="C4">
        <v>0.12</v>
      </c>
      <c r="D4" s="2">
        <v>0.85970000000000002</v>
      </c>
      <c r="E4" s="2">
        <v>24.04</v>
      </c>
      <c r="F4">
        <f t="shared" si="0"/>
        <v>1.5913200000000001</v>
      </c>
      <c r="G4" s="7">
        <f t="shared" si="1"/>
        <v>180831.81818181818</v>
      </c>
    </row>
    <row r="5" spans="1:17" x14ac:dyDescent="0.25">
      <c r="A5" t="s">
        <v>32</v>
      </c>
      <c r="B5" t="s">
        <v>33</v>
      </c>
      <c r="C5">
        <v>2.4700000000000002</v>
      </c>
      <c r="D5" s="2">
        <v>0</v>
      </c>
      <c r="E5" s="2">
        <v>24.04</v>
      </c>
      <c r="F5">
        <f t="shared" si="0"/>
        <v>1.5913200000000001</v>
      </c>
      <c r="G5" s="7">
        <f t="shared" si="1"/>
        <v>180831.81818181818</v>
      </c>
    </row>
    <row r="6" spans="1:17" x14ac:dyDescent="0.25">
      <c r="A6" t="s">
        <v>34</v>
      </c>
      <c r="B6" t="s">
        <v>35</v>
      </c>
      <c r="C6">
        <v>3.22</v>
      </c>
      <c r="D6" s="2">
        <v>3.7229000000000001</v>
      </c>
      <c r="E6" s="2">
        <v>28.14</v>
      </c>
      <c r="F6">
        <f t="shared" si="0"/>
        <v>1.52162</v>
      </c>
      <c r="G6" s="7">
        <f t="shared" si="1"/>
        <v>172911.36363636362</v>
      </c>
    </row>
    <row r="7" spans="1:17" x14ac:dyDescent="0.25">
      <c r="A7" t="s">
        <v>36</v>
      </c>
      <c r="B7" t="s">
        <v>28</v>
      </c>
      <c r="C7">
        <v>-0.35</v>
      </c>
      <c r="D7" s="2">
        <v>2.8169</v>
      </c>
      <c r="E7" s="2">
        <v>29.33</v>
      </c>
      <c r="F7">
        <f t="shared" si="0"/>
        <v>1.50139</v>
      </c>
      <c r="G7" s="7">
        <f t="shared" si="1"/>
        <v>170612.5</v>
      </c>
    </row>
    <row r="8" spans="1:17" x14ac:dyDescent="0.25">
      <c r="A8" t="s">
        <v>17</v>
      </c>
      <c r="B8" t="s">
        <v>37</v>
      </c>
      <c r="C8">
        <v>1.45</v>
      </c>
      <c r="D8" s="2">
        <v>0.879</v>
      </c>
      <c r="E8" s="2">
        <v>31.19</v>
      </c>
      <c r="F8">
        <f t="shared" si="0"/>
        <v>1.46977</v>
      </c>
      <c r="G8" s="7">
        <f t="shared" si="1"/>
        <v>167019.31818181818</v>
      </c>
    </row>
    <row r="9" spans="1:17" x14ac:dyDescent="0.25">
      <c r="A9" t="s">
        <v>38</v>
      </c>
      <c r="B9" t="s">
        <v>39</v>
      </c>
      <c r="C9">
        <v>2.41</v>
      </c>
      <c r="D9" s="2">
        <v>0</v>
      </c>
      <c r="E9" s="2">
        <v>30.83</v>
      </c>
      <c r="F9">
        <f t="shared" si="0"/>
        <v>1.4758900000000001</v>
      </c>
      <c r="G9" s="7">
        <f t="shared" si="1"/>
        <v>167714.77272727274</v>
      </c>
    </row>
    <row r="10" spans="1:17" x14ac:dyDescent="0.25">
      <c r="A10" t="s">
        <v>40</v>
      </c>
      <c r="B10" t="s">
        <v>41</v>
      </c>
      <c r="C10">
        <v>1.35</v>
      </c>
      <c r="D10" s="2">
        <v>1.5303</v>
      </c>
      <c r="E10" s="2">
        <v>27.09</v>
      </c>
      <c r="F10">
        <f t="shared" si="0"/>
        <v>1.5394700000000001</v>
      </c>
      <c r="G10" s="7">
        <f t="shared" si="1"/>
        <v>174939.77272727274</v>
      </c>
    </row>
    <row r="11" spans="1:17" x14ac:dyDescent="0.25">
      <c r="A11" t="s">
        <v>42</v>
      </c>
      <c r="B11" t="s">
        <v>43</v>
      </c>
      <c r="C11">
        <v>1.1000000000000001</v>
      </c>
      <c r="D11" s="2">
        <v>0</v>
      </c>
      <c r="E11" s="2">
        <v>20.49</v>
      </c>
      <c r="F11">
        <f t="shared" si="0"/>
        <v>1.65167</v>
      </c>
      <c r="G11" s="7">
        <f t="shared" si="1"/>
        <v>187689.77272727271</v>
      </c>
    </row>
    <row r="12" spans="1:17" x14ac:dyDescent="0.25">
      <c r="A12" t="s">
        <v>44</v>
      </c>
      <c r="B12" t="s">
        <v>45</v>
      </c>
      <c r="C12">
        <v>1.06</v>
      </c>
      <c r="D12" s="2">
        <v>6.1135000000000002</v>
      </c>
      <c r="E12" s="2">
        <v>16.64</v>
      </c>
      <c r="F12">
        <f t="shared" si="0"/>
        <v>1.71712</v>
      </c>
      <c r="G12" s="7">
        <f t="shared" si="1"/>
        <v>195127.27272727271</v>
      </c>
    </row>
    <row r="13" spans="1:17" x14ac:dyDescent="0.25">
      <c r="A13" t="s">
        <v>46</v>
      </c>
      <c r="B13" t="s">
        <v>45</v>
      </c>
      <c r="C13">
        <v>-7.0000000000000007E-2</v>
      </c>
      <c r="D13" s="2">
        <v>4.5500999999999996</v>
      </c>
      <c r="E13" s="2">
        <v>17.71</v>
      </c>
      <c r="F13">
        <f t="shared" si="0"/>
        <v>1.6989300000000001</v>
      </c>
      <c r="G13" s="7">
        <f t="shared" si="1"/>
        <v>193060.22727272726</v>
      </c>
    </row>
    <row r="14" spans="1:17" x14ac:dyDescent="0.25">
      <c r="A14" t="s">
        <v>16</v>
      </c>
      <c r="B14" t="s">
        <v>47</v>
      </c>
      <c r="C14">
        <v>0.66</v>
      </c>
      <c r="D14" s="2">
        <v>6.3425000000000002</v>
      </c>
      <c r="E14" s="2">
        <v>35.89</v>
      </c>
      <c r="F14">
        <f t="shared" si="0"/>
        <v>1.3898700000000002</v>
      </c>
      <c r="G14" s="7">
        <f t="shared" si="1"/>
        <v>157939.77272727274</v>
      </c>
    </row>
    <row r="15" spans="1:17" x14ac:dyDescent="0.25">
      <c r="A15" t="s">
        <v>48</v>
      </c>
      <c r="B15" t="s">
        <v>28</v>
      </c>
      <c r="C15">
        <v>5.76</v>
      </c>
      <c r="D15" s="2">
        <v>3.3247</v>
      </c>
      <c r="E15" s="2">
        <v>94.8</v>
      </c>
      <c r="F15">
        <f t="shared" si="0"/>
        <v>0.38840000000000008</v>
      </c>
      <c r="G15" s="7">
        <f t="shared" si="1"/>
        <v>44136.363636363647</v>
      </c>
    </row>
    <row r="16" spans="1:17" x14ac:dyDescent="0.25">
      <c r="A16" t="s">
        <v>49</v>
      </c>
      <c r="B16" t="s">
        <v>45</v>
      </c>
      <c r="C16">
        <v>15.86</v>
      </c>
      <c r="D16" s="2">
        <v>2.6642000000000001</v>
      </c>
      <c r="E16" s="2">
        <v>22.12</v>
      </c>
      <c r="F16">
        <f t="shared" si="0"/>
        <v>1.6239600000000001</v>
      </c>
      <c r="G16" s="7">
        <f t="shared" si="1"/>
        <v>184540.90909090909</v>
      </c>
    </row>
    <row r="17" spans="1:7" x14ac:dyDescent="0.25">
      <c r="A17" t="s">
        <v>50</v>
      </c>
      <c r="B17" t="s">
        <v>51</v>
      </c>
      <c r="C17">
        <v>8.2200000000000006</v>
      </c>
      <c r="D17" s="2">
        <v>2.5383</v>
      </c>
      <c r="E17" s="2">
        <v>5.22</v>
      </c>
      <c r="F17">
        <f t="shared" si="0"/>
        <v>1.91126</v>
      </c>
      <c r="G17" s="7">
        <f t="shared" si="1"/>
        <v>217188.63636363635</v>
      </c>
    </row>
    <row r="18" spans="1:7" x14ac:dyDescent="0.25">
      <c r="A18" t="s">
        <v>15</v>
      </c>
      <c r="B18" t="s">
        <v>52</v>
      </c>
      <c r="C18">
        <v>23.85</v>
      </c>
      <c r="D18" s="2">
        <v>9.0841999999999992</v>
      </c>
      <c r="E18" s="2">
        <v>3.98</v>
      </c>
      <c r="F18">
        <f t="shared" si="0"/>
        <v>1.9323399999999999</v>
      </c>
      <c r="G18" s="7">
        <f t="shared" si="1"/>
        <v>219584.09090909088</v>
      </c>
    </row>
    <row r="19" spans="1:7" x14ac:dyDescent="0.25">
      <c r="A19" t="s">
        <v>53</v>
      </c>
      <c r="B19" t="s">
        <v>54</v>
      </c>
      <c r="C19">
        <v>12.13</v>
      </c>
      <c r="D19" s="2">
        <v>5.6590999999999996</v>
      </c>
      <c r="E19" s="2">
        <v>1.37</v>
      </c>
      <c r="F19">
        <f t="shared" si="0"/>
        <v>1.97671</v>
      </c>
      <c r="G19" s="7">
        <f t="shared" si="1"/>
        <v>224626.13636363635</v>
      </c>
    </row>
    <row r="20" spans="1:7" x14ac:dyDescent="0.25">
      <c r="A20" t="s">
        <v>55</v>
      </c>
      <c r="B20" t="s">
        <v>56</v>
      </c>
      <c r="C20">
        <v>14.94</v>
      </c>
      <c r="D20" s="2">
        <v>3.4982000000000002</v>
      </c>
      <c r="E20" s="2">
        <v>25.69</v>
      </c>
      <c r="F20">
        <f t="shared" si="0"/>
        <v>1.5632699999999999</v>
      </c>
      <c r="G20" s="7">
        <f t="shared" si="1"/>
        <v>177644.31818181818</v>
      </c>
    </row>
    <row r="21" spans="1:7" x14ac:dyDescent="0.25">
      <c r="A21" t="s">
        <v>14</v>
      </c>
      <c r="B21" t="s">
        <v>57</v>
      </c>
      <c r="C21">
        <v>27.47</v>
      </c>
      <c r="D21" s="2">
        <v>3.0295999999999998</v>
      </c>
      <c r="E21" s="2">
        <v>25.69</v>
      </c>
      <c r="F21">
        <f t="shared" si="0"/>
        <v>1.5632699999999999</v>
      </c>
      <c r="G21" s="7">
        <f t="shared" si="1"/>
        <v>177644.31818181818</v>
      </c>
    </row>
    <row r="22" spans="1:7" x14ac:dyDescent="0.25">
      <c r="A22" t="s">
        <v>58</v>
      </c>
      <c r="B22" t="s">
        <v>59</v>
      </c>
      <c r="C22">
        <v>12.46</v>
      </c>
      <c r="D22" s="2">
        <v>7.1546000000000003</v>
      </c>
      <c r="E22" s="2">
        <v>23.46</v>
      </c>
      <c r="F22">
        <f t="shared" si="0"/>
        <v>1.60118</v>
      </c>
      <c r="G22" s="7">
        <f t="shared" si="1"/>
        <v>181952.27272727274</v>
      </c>
    </row>
    <row r="23" spans="1:7" x14ac:dyDescent="0.25">
      <c r="A23" t="s">
        <v>13</v>
      </c>
      <c r="B23" t="s">
        <v>60</v>
      </c>
      <c r="C23">
        <v>8.66</v>
      </c>
      <c r="D23" s="2">
        <v>6.8871000000000002</v>
      </c>
      <c r="E23" s="2">
        <v>14.7</v>
      </c>
      <c r="F23">
        <f t="shared" si="0"/>
        <v>1.7501</v>
      </c>
      <c r="G23" s="7">
        <f t="shared" si="1"/>
        <v>198875</v>
      </c>
    </row>
    <row r="24" spans="1:7" x14ac:dyDescent="0.25">
      <c r="A24" t="s">
        <v>61</v>
      </c>
      <c r="B24" t="s">
        <v>62</v>
      </c>
      <c r="C24">
        <v>26.99</v>
      </c>
      <c r="D24" s="2">
        <v>0.50649999999999995</v>
      </c>
      <c r="E24" s="2">
        <v>12.76</v>
      </c>
      <c r="F24">
        <f t="shared" si="0"/>
        <v>1.78308</v>
      </c>
      <c r="G24" s="7">
        <f t="shared" si="1"/>
        <v>202622.72727272726</v>
      </c>
    </row>
    <row r="25" spans="1:7" x14ac:dyDescent="0.25">
      <c r="A25" t="s">
        <v>63</v>
      </c>
      <c r="B25" t="s">
        <v>64</v>
      </c>
      <c r="C25">
        <v>40.020000000000003</v>
      </c>
      <c r="D25" s="2">
        <v>0.57250000000000001</v>
      </c>
      <c r="E25" s="2">
        <v>13.03</v>
      </c>
      <c r="F25">
        <f t="shared" si="0"/>
        <v>1.7784900000000001</v>
      </c>
      <c r="G25" s="7">
        <f t="shared" si="1"/>
        <v>202101.13636363638</v>
      </c>
    </row>
    <row r="26" spans="1:7" x14ac:dyDescent="0.25">
      <c r="A26" t="s">
        <v>12</v>
      </c>
      <c r="B26" t="s">
        <v>65</v>
      </c>
      <c r="C26">
        <v>12.71</v>
      </c>
      <c r="D26" s="2">
        <v>2.5573999999999999</v>
      </c>
      <c r="E26" s="2">
        <v>13.7</v>
      </c>
      <c r="F26">
        <f t="shared" si="0"/>
        <v>1.7671000000000001</v>
      </c>
      <c r="G26" s="7">
        <f t="shared" si="1"/>
        <v>200806.81818181818</v>
      </c>
    </row>
    <row r="27" spans="1:7" x14ac:dyDescent="0.25">
      <c r="A27" t="s">
        <v>11</v>
      </c>
      <c r="B27" t="s">
        <v>66</v>
      </c>
      <c r="C27">
        <v>25.99</v>
      </c>
      <c r="D27" s="2">
        <v>1.1151</v>
      </c>
      <c r="E27" s="2">
        <v>19.920000000000002</v>
      </c>
      <c r="F27">
        <f t="shared" si="0"/>
        <v>1.6613599999999999</v>
      </c>
      <c r="G27" s="7">
        <f t="shared" si="1"/>
        <v>188790.90909090909</v>
      </c>
    </row>
    <row r="28" spans="1:7" x14ac:dyDescent="0.25">
      <c r="A28" t="s">
        <v>67</v>
      </c>
      <c r="B28" t="s">
        <v>68</v>
      </c>
      <c r="C28">
        <v>20.94</v>
      </c>
      <c r="D28" s="2">
        <v>2.9550000000000001</v>
      </c>
      <c r="E28" s="2">
        <v>20.27</v>
      </c>
      <c r="F28">
        <f t="shared" si="0"/>
        <v>1.65541</v>
      </c>
      <c r="G28" s="7">
        <f t="shared" si="1"/>
        <v>188114.77272727274</v>
      </c>
    </row>
    <row r="29" spans="1:7" x14ac:dyDescent="0.25">
      <c r="A29" t="s">
        <v>69</v>
      </c>
      <c r="B29" t="s">
        <v>70</v>
      </c>
      <c r="C29">
        <v>84.67</v>
      </c>
      <c r="D29" s="2">
        <v>0.45369999999999999</v>
      </c>
      <c r="E29" s="2">
        <v>12.23</v>
      </c>
      <c r="F29">
        <f t="shared" si="0"/>
        <v>1.79209</v>
      </c>
      <c r="G29" s="7">
        <f t="shared" si="1"/>
        <v>203646.59090909091</v>
      </c>
    </row>
    <row r="30" spans="1:7" x14ac:dyDescent="0.25">
      <c r="A30" t="s">
        <v>10</v>
      </c>
      <c r="B30" t="s">
        <v>71</v>
      </c>
      <c r="C30">
        <v>21.73</v>
      </c>
      <c r="D30" s="2">
        <v>2.8323</v>
      </c>
      <c r="E30" s="2">
        <v>10.43</v>
      </c>
      <c r="F30">
        <f t="shared" si="0"/>
        <v>1.8226900000000001</v>
      </c>
      <c r="G30" s="7">
        <f t="shared" si="1"/>
        <v>207123.86363636365</v>
      </c>
    </row>
    <row r="31" spans="1:7" x14ac:dyDescent="0.25">
      <c r="A31" t="s">
        <v>9</v>
      </c>
      <c r="B31" t="s">
        <v>72</v>
      </c>
      <c r="C31">
        <v>45.14</v>
      </c>
      <c r="D31" s="2">
        <v>0.31840000000000002</v>
      </c>
      <c r="E31" s="2">
        <v>8.9</v>
      </c>
      <c r="F31">
        <f t="shared" si="0"/>
        <v>1.8487</v>
      </c>
      <c r="G31" s="7">
        <f t="shared" si="1"/>
        <v>210079.54545454544</v>
      </c>
    </row>
    <row r="32" spans="1:7" x14ac:dyDescent="0.25">
      <c r="A32" t="s">
        <v>73</v>
      </c>
      <c r="B32" t="s">
        <v>33</v>
      </c>
      <c r="C32">
        <v>27.27</v>
      </c>
      <c r="D32" s="2">
        <v>2.4975999999999998</v>
      </c>
      <c r="E32" s="2">
        <v>12.47</v>
      </c>
      <c r="F32">
        <f t="shared" si="0"/>
        <v>1.7880099999999999</v>
      </c>
      <c r="G32" s="7">
        <f t="shared" si="1"/>
        <v>203182.95454545453</v>
      </c>
    </row>
    <row r="33" spans="1:7" x14ac:dyDescent="0.25">
      <c r="A33" t="s">
        <v>74</v>
      </c>
      <c r="B33" t="s">
        <v>54</v>
      </c>
      <c r="C33">
        <v>33.28</v>
      </c>
      <c r="D33" s="2">
        <v>0.60140000000000005</v>
      </c>
      <c r="E33" s="2">
        <v>13.6</v>
      </c>
      <c r="F33">
        <f t="shared" si="0"/>
        <v>1.7688000000000001</v>
      </c>
      <c r="G33" s="7">
        <f t="shared" si="1"/>
        <v>201000</v>
      </c>
    </row>
    <row r="34" spans="1:7" x14ac:dyDescent="0.25">
      <c r="A34" t="s">
        <v>75</v>
      </c>
      <c r="B34" t="s">
        <v>76</v>
      </c>
      <c r="C34">
        <v>33.01</v>
      </c>
      <c r="D34" s="2">
        <v>1.4073</v>
      </c>
      <c r="E34" s="2">
        <v>13.72</v>
      </c>
      <c r="F34">
        <f t="shared" si="0"/>
        <v>1.7667600000000001</v>
      </c>
      <c r="G34" s="7">
        <f t="shared" si="1"/>
        <v>200768.18181818182</v>
      </c>
    </row>
    <row r="35" spans="1:7" x14ac:dyDescent="0.25">
      <c r="A35" t="s">
        <v>77</v>
      </c>
      <c r="B35" t="s">
        <v>30</v>
      </c>
      <c r="C35">
        <v>32.909999999999997</v>
      </c>
      <c r="D35" s="2">
        <v>1.7313000000000001</v>
      </c>
      <c r="E35" s="2">
        <v>11.66</v>
      </c>
      <c r="F35">
        <f t="shared" si="0"/>
        <v>1.8017799999999999</v>
      </c>
      <c r="G35" s="7">
        <f t="shared" si="1"/>
        <v>204747.72727272726</v>
      </c>
    </row>
    <row r="36" spans="1:7" x14ac:dyDescent="0.25">
      <c r="A36" t="s">
        <v>8</v>
      </c>
      <c r="B36" t="s">
        <v>78</v>
      </c>
      <c r="C36">
        <v>6.02</v>
      </c>
      <c r="D36" s="2">
        <v>0</v>
      </c>
      <c r="E36" s="2">
        <v>9.0399999999999991</v>
      </c>
      <c r="F36">
        <f t="shared" si="0"/>
        <v>1.84632</v>
      </c>
      <c r="G36" s="7">
        <f t="shared" si="1"/>
        <v>209809.09090909091</v>
      </c>
    </row>
    <row r="37" spans="1:7" x14ac:dyDescent="0.25">
      <c r="A37" t="s">
        <v>79</v>
      </c>
      <c r="B37" t="s">
        <v>39</v>
      </c>
      <c r="C37">
        <v>14.14</v>
      </c>
      <c r="D37" s="2">
        <v>1.9244000000000001</v>
      </c>
      <c r="E37" s="2">
        <v>1.23</v>
      </c>
      <c r="F37">
        <f t="shared" si="0"/>
        <v>1.97909</v>
      </c>
      <c r="G37" s="7">
        <f t="shared" si="1"/>
        <v>224896.59090909091</v>
      </c>
    </row>
    <row r="38" spans="1:7" x14ac:dyDescent="0.25">
      <c r="A38" t="s">
        <v>80</v>
      </c>
      <c r="B38" t="s">
        <v>45</v>
      </c>
      <c r="C38">
        <v>42.48</v>
      </c>
      <c r="D38" s="2">
        <v>1.7255</v>
      </c>
      <c r="E38" s="2">
        <v>60.74</v>
      </c>
      <c r="F38">
        <f t="shared" si="0"/>
        <v>0.96741999999999995</v>
      </c>
      <c r="G38" s="7">
        <f t="shared" si="1"/>
        <v>109934.0909090909</v>
      </c>
    </row>
    <row r="39" spans="1:7" x14ac:dyDescent="0.25">
      <c r="A39" t="s">
        <v>7</v>
      </c>
      <c r="B39" t="s">
        <v>81</v>
      </c>
      <c r="C39">
        <v>16.260000000000002</v>
      </c>
      <c r="D39" s="2">
        <v>2.3895</v>
      </c>
      <c r="E39" s="2">
        <v>62.31</v>
      </c>
      <c r="F39">
        <f t="shared" si="0"/>
        <v>0.94072999999999984</v>
      </c>
      <c r="G39" s="7">
        <f t="shared" si="1"/>
        <v>106901.13636363634</v>
      </c>
    </row>
    <row r="40" spans="1:7" x14ac:dyDescent="0.25">
      <c r="A40" t="s">
        <v>6</v>
      </c>
      <c r="B40" t="s">
        <v>82</v>
      </c>
      <c r="C40">
        <v>18.920000000000002</v>
      </c>
      <c r="D40" s="2">
        <v>7.4702000000000002</v>
      </c>
      <c r="E40" s="2">
        <v>58.98</v>
      </c>
      <c r="F40">
        <f t="shared" si="0"/>
        <v>0.99734000000000012</v>
      </c>
      <c r="G40" s="7">
        <f t="shared" si="1"/>
        <v>113334.09090909091</v>
      </c>
    </row>
    <row r="41" spans="1:7" x14ac:dyDescent="0.25">
      <c r="A41" t="s">
        <v>83</v>
      </c>
      <c r="B41" t="s">
        <v>84</v>
      </c>
      <c r="C41">
        <v>30.1</v>
      </c>
      <c r="D41" s="2">
        <v>9.9667999999999992</v>
      </c>
      <c r="E41" s="2">
        <v>58.05</v>
      </c>
      <c r="F41">
        <f t="shared" si="0"/>
        <v>1.01315</v>
      </c>
      <c r="G41" s="7">
        <f t="shared" si="1"/>
        <v>115130.68181818181</v>
      </c>
    </row>
    <row r="42" spans="1:7" x14ac:dyDescent="0.25">
      <c r="A42" t="s">
        <v>85</v>
      </c>
      <c r="B42" t="s">
        <v>28</v>
      </c>
      <c r="C42">
        <v>10.77</v>
      </c>
      <c r="D42" s="2">
        <v>3.1617000000000002</v>
      </c>
      <c r="E42" s="2">
        <v>69.19</v>
      </c>
      <c r="F42">
        <f t="shared" si="0"/>
        <v>0.82377000000000011</v>
      </c>
      <c r="G42" s="7">
        <f t="shared" si="1"/>
        <v>93610.227272727279</v>
      </c>
    </row>
    <row r="43" spans="1:7" x14ac:dyDescent="0.25">
      <c r="A43" t="s">
        <v>86</v>
      </c>
      <c r="B43" t="s">
        <v>87</v>
      </c>
      <c r="C43">
        <v>11.5</v>
      </c>
      <c r="D43" s="2">
        <v>3.0028999999999999</v>
      </c>
      <c r="E43" s="2">
        <v>71.739999999999995</v>
      </c>
      <c r="F43">
        <f t="shared" si="0"/>
        <v>0.78042000000000011</v>
      </c>
      <c r="G43" s="7">
        <f t="shared" si="1"/>
        <v>88684.090909090912</v>
      </c>
    </row>
    <row r="44" spans="1:7" x14ac:dyDescent="0.25">
      <c r="A44" t="s">
        <v>88</v>
      </c>
      <c r="B44" t="s">
        <v>82</v>
      </c>
      <c r="C44">
        <v>5.08</v>
      </c>
      <c r="D44" s="2">
        <v>6.2538999999999998</v>
      </c>
      <c r="E44" s="2">
        <v>53.16</v>
      </c>
      <c r="F44">
        <f t="shared" si="0"/>
        <v>1.0962800000000001</v>
      </c>
      <c r="G44" s="7">
        <f t="shared" si="1"/>
        <v>124577.27272727274</v>
      </c>
    </row>
    <row r="45" spans="1:7" x14ac:dyDescent="0.25">
      <c r="A45" t="s">
        <v>5</v>
      </c>
      <c r="B45" t="s">
        <v>68</v>
      </c>
      <c r="C45">
        <v>28.09</v>
      </c>
      <c r="D45" s="2">
        <v>3.677</v>
      </c>
      <c r="E45" s="2">
        <v>50.89</v>
      </c>
      <c r="F45">
        <f t="shared" si="0"/>
        <v>1.1348699999999998</v>
      </c>
      <c r="G45" s="7">
        <f t="shared" si="1"/>
        <v>128962.49999999997</v>
      </c>
    </row>
  </sheetData>
  <autoFilter ref="A1:E1" xr:uid="{E7F2974D-4B55-4FD7-AC29-7439F0EE84B2}">
    <sortState ref="A2:E45">
      <sortCondition ref="B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2025-07-09T09:02:22Z</dcterms:created>
  <dcterms:modified xsi:type="dcterms:W3CDTF">2025-07-09T11:29:54Z</dcterms:modified>
</cp:coreProperties>
</file>