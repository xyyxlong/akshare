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CCE944B4-6A2F-4F9A-995F-13724505786C}" xr6:coauthVersionLast="36" xr6:coauthVersionMax="36" xr10:uidLastSave="{00000000-0000-0000-0000-000000000000}"/>
  <bookViews>
    <workbookView xWindow="0" yWindow="0" windowWidth="23040" windowHeight="7764" xr2:uid="{00000000-000D-0000-FFFF-FFFF00000000}"/>
  </bookViews>
  <sheets>
    <sheet name="信号列表" sheetId="1" r:id="rId1"/>
  </sheets>
  <calcPr calcId="191029"/>
</workbook>
</file>

<file path=xl/calcChain.xml><?xml version="1.0" encoding="utf-8"?>
<calcChain xmlns="http://schemas.openxmlformats.org/spreadsheetml/2006/main">
  <c r="G45" i="1" l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P1" i="1"/>
  <c r="R1" i="1" s="1"/>
  <c r="H59" i="1" l="1"/>
  <c r="H58" i="1"/>
  <c r="H57" i="1"/>
  <c r="H56" i="1"/>
  <c r="H31" i="1"/>
  <c r="H71" i="1"/>
  <c r="H55" i="1"/>
  <c r="H70" i="1"/>
  <c r="H54" i="1"/>
  <c r="H30" i="1"/>
  <c r="H73" i="1"/>
  <c r="H69" i="1"/>
  <c r="H53" i="1"/>
  <c r="H15" i="1"/>
  <c r="H17" i="1"/>
  <c r="H68" i="1"/>
  <c r="H52" i="1"/>
  <c r="H76" i="1"/>
  <c r="H74" i="1"/>
  <c r="H72" i="1"/>
  <c r="H67" i="1"/>
  <c r="H51" i="1"/>
  <c r="H29" i="1"/>
  <c r="H7" i="1"/>
  <c r="H23" i="1"/>
  <c r="H39" i="1"/>
  <c r="H66" i="1"/>
  <c r="H50" i="1"/>
  <c r="H75" i="1"/>
  <c r="H65" i="1"/>
  <c r="H49" i="1"/>
  <c r="H48" i="1"/>
  <c r="H13" i="1"/>
  <c r="H63" i="1"/>
  <c r="H47" i="1"/>
  <c r="H14" i="1"/>
  <c r="H64" i="1"/>
  <c r="H11" i="1"/>
  <c r="H27" i="1"/>
  <c r="H43" i="1"/>
  <c r="H62" i="1"/>
  <c r="H46" i="1"/>
  <c r="H60" i="1"/>
  <c r="H12" i="1"/>
  <c r="H28" i="1"/>
  <c r="H44" i="1"/>
  <c r="H61" i="1"/>
  <c r="H45" i="1"/>
  <c r="H16" i="1"/>
  <c r="H32" i="1"/>
  <c r="H33" i="1"/>
  <c r="H2" i="1"/>
  <c r="H3" i="1"/>
  <c r="H4" i="1"/>
  <c r="H20" i="1"/>
  <c r="H36" i="1"/>
  <c r="H18" i="1"/>
  <c r="H34" i="1"/>
  <c r="H19" i="1"/>
  <c r="H35" i="1"/>
  <c r="H5" i="1"/>
  <c r="H21" i="1"/>
  <c r="H37" i="1"/>
  <c r="H6" i="1"/>
  <c r="H22" i="1"/>
  <c r="H38" i="1"/>
  <c r="H8" i="1"/>
  <c r="H24" i="1"/>
  <c r="H40" i="1"/>
  <c r="H9" i="1"/>
  <c r="H25" i="1"/>
  <c r="H41" i="1"/>
  <c r="H10" i="1"/>
  <c r="H26" i="1"/>
  <c r="H42" i="1"/>
  <c r="L2" i="1" l="1"/>
</calcChain>
</file>

<file path=xl/sharedStrings.xml><?xml version="1.0" encoding="utf-8"?>
<sst xmlns="http://schemas.openxmlformats.org/spreadsheetml/2006/main" count="389" uniqueCount="360">
  <si>
    <t>A股代码</t>
  </si>
  <si>
    <t>buydate</t>
  </si>
  <si>
    <t>price</t>
  </si>
  <si>
    <t>dv_ratio</t>
  </si>
  <si>
    <t>300%</t>
  </si>
  <si>
    <t>名称</t>
  </si>
  <si>
    <t>000002</t>
  </si>
  <si>
    <t>20250606</t>
  </si>
  <si>
    <t>0.0000</t>
  </si>
  <si>
    <t>69.76</t>
  </si>
  <si>
    <t>万  科Ａ</t>
  </si>
  <si>
    <t>000012</t>
  </si>
  <si>
    <t>20180423</t>
  </si>
  <si>
    <t>1.1392</t>
  </si>
  <si>
    <t>58.24</t>
  </si>
  <si>
    <t>南  玻Ａ</t>
  </si>
  <si>
    <t>000100</t>
  </si>
  <si>
    <t>20181224</t>
  </si>
  <si>
    <t>3.0047</t>
  </si>
  <si>
    <t>0.20</t>
  </si>
  <si>
    <t>TCL科技</t>
  </si>
  <si>
    <t>000151</t>
  </si>
  <si>
    <t>20171204</t>
  </si>
  <si>
    <t>3.0511</t>
  </si>
  <si>
    <t>83.23</t>
  </si>
  <si>
    <t>中成股份</t>
  </si>
  <si>
    <t>000531</t>
  </si>
  <si>
    <t>20180222</t>
  </si>
  <si>
    <t>3.6390</t>
  </si>
  <si>
    <t>88.45</t>
  </si>
  <si>
    <t>穗恒运Ａ</t>
  </si>
  <si>
    <t>000539</t>
  </si>
  <si>
    <t>20180416</t>
  </si>
  <si>
    <t>1.7937</t>
  </si>
  <si>
    <t>62.44</t>
  </si>
  <si>
    <t>粤电力Ａ</t>
  </si>
  <si>
    <t>000550</t>
  </si>
  <si>
    <t>20171220</t>
  </si>
  <si>
    <t>6.3698</t>
  </si>
  <si>
    <t>86.40</t>
  </si>
  <si>
    <t>江铃汽车</t>
  </si>
  <si>
    <t>000559</t>
  </si>
  <si>
    <t>20180227</t>
  </si>
  <si>
    <t>0.9363</t>
  </si>
  <si>
    <t>87.93</t>
  </si>
  <si>
    <t>万向钱潮</t>
  </si>
  <si>
    <t>000600</t>
  </si>
  <si>
    <t>20180817</t>
  </si>
  <si>
    <t>7.5472</t>
  </si>
  <si>
    <t>12.58</t>
  </si>
  <si>
    <t>建投能源</t>
  </si>
  <si>
    <t>000603</t>
  </si>
  <si>
    <t>20171214</t>
  </si>
  <si>
    <t>84.56</t>
  </si>
  <si>
    <t>盛达资源</t>
  </si>
  <si>
    <t>000631</t>
  </si>
  <si>
    <t>20180914</t>
  </si>
  <si>
    <t>3.0395</t>
  </si>
  <si>
    <t>8.58</t>
  </si>
  <si>
    <t>顺发恒业</t>
  </si>
  <si>
    <t>000718</t>
  </si>
  <si>
    <t>20240826</t>
  </si>
  <si>
    <t>7.3171</t>
  </si>
  <si>
    <t>31.93</t>
  </si>
  <si>
    <t>苏宁环球</t>
  </si>
  <si>
    <t>000789</t>
  </si>
  <si>
    <t>20230605</t>
  </si>
  <si>
    <t>10.0000</t>
  </si>
  <si>
    <t>13.68</t>
  </si>
  <si>
    <t>万年青</t>
  </si>
  <si>
    <t>000869</t>
  </si>
  <si>
    <t>20240730</t>
  </si>
  <si>
    <t>2.0718</t>
  </si>
  <si>
    <t>33.88</t>
  </si>
  <si>
    <t>张  裕Ａ</t>
  </si>
  <si>
    <t>000876</t>
  </si>
  <si>
    <t>20180703</t>
  </si>
  <si>
    <t>7.9365</t>
  </si>
  <si>
    <t>23.85</t>
  </si>
  <si>
    <t>新 希 望</t>
  </si>
  <si>
    <t>000899</t>
  </si>
  <si>
    <t>20180503</t>
  </si>
  <si>
    <t>6.4795</t>
  </si>
  <si>
    <t>52.20</t>
  </si>
  <si>
    <t>赣能股份</t>
  </si>
  <si>
    <t>002001</t>
  </si>
  <si>
    <t>20230517</t>
  </si>
  <si>
    <t>3.4961</t>
  </si>
  <si>
    <t>20.99</t>
  </si>
  <si>
    <t>新 和 成</t>
  </si>
  <si>
    <t>002014</t>
  </si>
  <si>
    <t>5.6883</t>
  </si>
  <si>
    <t>永新股份</t>
  </si>
  <si>
    <t>002035</t>
  </si>
  <si>
    <t>20210408</t>
  </si>
  <si>
    <t>3.8093</t>
  </si>
  <si>
    <t>90.36</t>
  </si>
  <si>
    <t>华帝股份</t>
  </si>
  <si>
    <t>002116</t>
  </si>
  <si>
    <t>20180427</t>
  </si>
  <si>
    <t>2.3095</t>
  </si>
  <si>
    <t>53.89</t>
  </si>
  <si>
    <t>中国海诚</t>
  </si>
  <si>
    <t>002233</t>
  </si>
  <si>
    <t>20220927</t>
  </si>
  <si>
    <t>5.5491</t>
  </si>
  <si>
    <t>6.39</t>
  </si>
  <si>
    <t>塔牌集团</t>
  </si>
  <si>
    <t>002242</t>
  </si>
  <si>
    <t>20231025</t>
  </si>
  <si>
    <t>11.4964</t>
  </si>
  <si>
    <t>3.30</t>
  </si>
  <si>
    <t>九阳股份</t>
  </si>
  <si>
    <t>002275</t>
  </si>
  <si>
    <t>20181031</t>
  </si>
  <si>
    <t>3.0793</t>
  </si>
  <si>
    <t>4.30</t>
  </si>
  <si>
    <t>桂林三金</t>
  </si>
  <si>
    <t>002293</t>
  </si>
  <si>
    <t>20240819</t>
  </si>
  <si>
    <t>8.2845</t>
  </si>
  <si>
    <t>38.00</t>
  </si>
  <si>
    <t>罗莱生活</t>
  </si>
  <si>
    <t>002300</t>
  </si>
  <si>
    <t>20180628</t>
  </si>
  <si>
    <t>3.9623</t>
  </si>
  <si>
    <t>25.28</t>
  </si>
  <si>
    <t>太阳电缆</t>
  </si>
  <si>
    <t>002304</t>
  </si>
  <si>
    <t>4.7844</t>
  </si>
  <si>
    <t>洋河股份</t>
  </si>
  <si>
    <t>002367</t>
  </si>
  <si>
    <t>1.2453</t>
  </si>
  <si>
    <t>康力电梯</t>
  </si>
  <si>
    <t>002394</t>
  </si>
  <si>
    <t>20180813</t>
  </si>
  <si>
    <t>5.1073</t>
  </si>
  <si>
    <t>22.21</t>
  </si>
  <si>
    <t>联发股份</t>
  </si>
  <si>
    <t>002440</t>
  </si>
  <si>
    <t>20230112</t>
  </si>
  <si>
    <t>4.7557</t>
  </si>
  <si>
    <t>13.07</t>
  </si>
  <si>
    <t>闰土股份</t>
  </si>
  <si>
    <t>002561</t>
  </si>
  <si>
    <t>3.3210</t>
  </si>
  <si>
    <t>徐家汇</t>
  </si>
  <si>
    <t>002563</t>
  </si>
  <si>
    <t>20220907</t>
  </si>
  <si>
    <t>9.7339</t>
  </si>
  <si>
    <t>12.15</t>
  </si>
  <si>
    <t>森马服饰</t>
  </si>
  <si>
    <t>002662</t>
  </si>
  <si>
    <t>20240812</t>
  </si>
  <si>
    <t>2.4911</t>
  </si>
  <si>
    <t>25.95</t>
  </si>
  <si>
    <t>峰璟股份</t>
  </si>
  <si>
    <t>002677</t>
  </si>
  <si>
    <t>20240809</t>
  </si>
  <si>
    <t>8.5517</t>
  </si>
  <si>
    <t>26.23</t>
  </si>
  <si>
    <t>浙江美大</t>
  </si>
  <si>
    <t>300039</t>
  </si>
  <si>
    <t>1.1966</t>
  </si>
  <si>
    <t>上海凯宝</t>
  </si>
  <si>
    <t>300146</t>
  </si>
  <si>
    <t>20240911</t>
  </si>
  <si>
    <t>1.6525</t>
  </si>
  <si>
    <t>6.90</t>
  </si>
  <si>
    <t>汤臣倍健</t>
  </si>
  <si>
    <t>600000</t>
  </si>
  <si>
    <t>20220826</t>
  </si>
  <si>
    <t>6.6482</t>
  </si>
  <si>
    <t>16.26</t>
  </si>
  <si>
    <t>浦发银行</t>
  </si>
  <si>
    <t>600009</t>
  </si>
  <si>
    <t>20231115</t>
  </si>
  <si>
    <t>9.17</t>
  </si>
  <si>
    <t>上海机场</t>
  </si>
  <si>
    <t>600011</t>
  </si>
  <si>
    <t>20250124</t>
  </si>
  <si>
    <t>3.1847</t>
  </si>
  <si>
    <t>61.17</t>
  </si>
  <si>
    <t>华能国际</t>
  </si>
  <si>
    <t>600012</t>
  </si>
  <si>
    <t>20180911</t>
  </si>
  <si>
    <t>4.2435</t>
  </si>
  <si>
    <t>7.87</t>
  </si>
  <si>
    <t>皖通高速</t>
  </si>
  <si>
    <t>600015</t>
  </si>
  <si>
    <t>20200522</t>
  </si>
  <si>
    <t>2.7445</t>
  </si>
  <si>
    <t>22.18</t>
  </si>
  <si>
    <t>华夏银行</t>
  </si>
  <si>
    <t>600016</t>
  </si>
  <si>
    <t>20211110</t>
  </si>
  <si>
    <t>9.5607</t>
  </si>
  <si>
    <t>43.62</t>
  </si>
  <si>
    <t>民生银行</t>
  </si>
  <si>
    <t>600060</t>
  </si>
  <si>
    <t>20180821</t>
  </si>
  <si>
    <t>3.8149</t>
  </si>
  <si>
    <t>17.71</t>
  </si>
  <si>
    <t>海信视像</t>
  </si>
  <si>
    <t>600066</t>
  </si>
  <si>
    <t>7.0225</t>
  </si>
  <si>
    <t>宇通客车</t>
  </si>
  <si>
    <t>600067</t>
  </si>
  <si>
    <t>20180419</t>
  </si>
  <si>
    <t>1.7699</t>
  </si>
  <si>
    <t>63.36</t>
  </si>
  <si>
    <t>冠城新材</t>
  </si>
  <si>
    <t>600132</t>
  </si>
  <si>
    <t>20240909</t>
  </si>
  <si>
    <t>4.9666</t>
  </si>
  <si>
    <t>7.93</t>
  </si>
  <si>
    <t>重庆啤酒</t>
  </si>
  <si>
    <t>600177</t>
  </si>
  <si>
    <t>20180711</t>
  </si>
  <si>
    <t>4.9329</t>
  </si>
  <si>
    <t>25.59</t>
  </si>
  <si>
    <t>雅戈尔</t>
  </si>
  <si>
    <t>600183</t>
  </si>
  <si>
    <t>20221019</t>
  </si>
  <si>
    <t>2.8989</t>
  </si>
  <si>
    <t>2.47</t>
  </si>
  <si>
    <t>生益科技</t>
  </si>
  <si>
    <t>600197</t>
  </si>
  <si>
    <t>20240729</t>
  </si>
  <si>
    <t>2.5369</t>
  </si>
  <si>
    <t>38.11</t>
  </si>
  <si>
    <t>伊力特</t>
  </si>
  <si>
    <t>600252</t>
  </si>
  <si>
    <t>20171215</t>
  </si>
  <si>
    <t>80.08</t>
  </si>
  <si>
    <t>中恒集团</t>
  </si>
  <si>
    <t>600261</t>
  </si>
  <si>
    <t>2.8090</t>
  </si>
  <si>
    <t>阳光照明</t>
  </si>
  <si>
    <t>600271</t>
  </si>
  <si>
    <t>20201020</t>
  </si>
  <si>
    <t>2.7695</t>
  </si>
  <si>
    <t>96.51</t>
  </si>
  <si>
    <t>航天信息</t>
  </si>
  <si>
    <t>600377</t>
  </si>
  <si>
    <t>20220817</t>
  </si>
  <si>
    <t>6.0686</t>
  </si>
  <si>
    <t>24.41</t>
  </si>
  <si>
    <t>宁沪高速</t>
  </si>
  <si>
    <t>600481</t>
  </si>
  <si>
    <t>20171128</t>
  </si>
  <si>
    <t>2.3310</t>
  </si>
  <si>
    <t>86.50</t>
  </si>
  <si>
    <t>双良节能</t>
  </si>
  <si>
    <t>600483</t>
  </si>
  <si>
    <t>20171213</t>
  </si>
  <si>
    <t>2.5674</t>
  </si>
  <si>
    <t>福能股份</t>
  </si>
  <si>
    <t>600507</t>
  </si>
  <si>
    <t>20240829</t>
  </si>
  <si>
    <t>19.67</t>
  </si>
  <si>
    <t>方大特钢</t>
  </si>
  <si>
    <t>600583</t>
  </si>
  <si>
    <t>20180718</t>
  </si>
  <si>
    <t>1.9841</t>
  </si>
  <si>
    <t>24.05</t>
  </si>
  <si>
    <t>海油工程</t>
  </si>
  <si>
    <t>600585</t>
  </si>
  <si>
    <t>20230630</t>
  </si>
  <si>
    <t>10.0253</t>
  </si>
  <si>
    <t>11.42</t>
  </si>
  <si>
    <t>海螺水泥</t>
  </si>
  <si>
    <t>600597</t>
  </si>
  <si>
    <t>20231225</t>
  </si>
  <si>
    <t>1.8499</t>
  </si>
  <si>
    <t>1.96</t>
  </si>
  <si>
    <t>光明乳业</t>
  </si>
  <si>
    <t>600668</t>
  </si>
  <si>
    <t>20240716</t>
  </si>
  <si>
    <t>1.9608</t>
  </si>
  <si>
    <t>52.01</t>
  </si>
  <si>
    <t>尖峰集团</t>
  </si>
  <si>
    <t>600688</t>
  </si>
  <si>
    <t>20190815</t>
  </si>
  <si>
    <t>6.8182</t>
  </si>
  <si>
    <t>32.21</t>
  </si>
  <si>
    <t>上海石化</t>
  </si>
  <si>
    <t>600697</t>
  </si>
  <si>
    <t>20180820</t>
  </si>
  <si>
    <t>1.7327</t>
  </si>
  <si>
    <t>14.33</t>
  </si>
  <si>
    <t>欧亚集团</t>
  </si>
  <si>
    <t>600750</t>
  </si>
  <si>
    <t>20180829</t>
  </si>
  <si>
    <t>1.8674</t>
  </si>
  <si>
    <t>16.17</t>
  </si>
  <si>
    <t>江中药业</t>
  </si>
  <si>
    <t>600828</t>
  </si>
  <si>
    <t>6.2762</t>
  </si>
  <si>
    <t>茂业商业</t>
  </si>
  <si>
    <t>600835</t>
  </si>
  <si>
    <t>20180918</t>
  </si>
  <si>
    <t>2.7832</t>
  </si>
  <si>
    <t>9.41</t>
  </si>
  <si>
    <t>上海机电</t>
  </si>
  <si>
    <t>600894</t>
  </si>
  <si>
    <t>7.9197</t>
  </si>
  <si>
    <t>广日股份</t>
  </si>
  <si>
    <t>600897</t>
  </si>
  <si>
    <t>20210712</t>
  </si>
  <si>
    <t>3.1678</t>
  </si>
  <si>
    <t>74.02</t>
  </si>
  <si>
    <t>厦门空港</t>
  </si>
  <si>
    <t>601158</t>
  </si>
  <si>
    <t>5.2142</t>
  </si>
  <si>
    <t>重庆水务</t>
  </si>
  <si>
    <t>601238</t>
  </si>
  <si>
    <t>20240813</t>
  </si>
  <si>
    <t>3.0372</t>
  </si>
  <si>
    <t>28.32</t>
  </si>
  <si>
    <t>广汽集团</t>
  </si>
  <si>
    <t>601515</t>
  </si>
  <si>
    <t>20171228</t>
  </si>
  <si>
    <t>5.5328</t>
  </si>
  <si>
    <t>87.12</t>
  </si>
  <si>
    <t>东峰集团</t>
  </si>
  <si>
    <t>601567</t>
  </si>
  <si>
    <t>4.3097</t>
  </si>
  <si>
    <t>三星医疗</t>
  </si>
  <si>
    <t>601766</t>
  </si>
  <si>
    <t>20180706</t>
  </si>
  <si>
    <t>2.8417</t>
  </si>
  <si>
    <t>22.49</t>
  </si>
  <si>
    <t>中国中车</t>
  </si>
  <si>
    <t>601818</t>
  </si>
  <si>
    <t>20220726</t>
  </si>
  <si>
    <t>7.1918</t>
  </si>
  <si>
    <t>29.35</t>
  </si>
  <si>
    <t>光大银行</t>
  </si>
  <si>
    <t>601877</t>
  </si>
  <si>
    <t>20230920</t>
  </si>
  <si>
    <t>1.6964</t>
  </si>
  <si>
    <t>12.55</t>
  </si>
  <si>
    <t>正泰电器</t>
  </si>
  <si>
    <t>601928</t>
  </si>
  <si>
    <t>1.2136</t>
  </si>
  <si>
    <t>凤凰传媒</t>
  </si>
  <si>
    <t>603766</t>
  </si>
  <si>
    <t>20181010</t>
  </si>
  <si>
    <t>4.2605</t>
  </si>
  <si>
    <t>12.08</t>
  </si>
  <si>
    <t>隆鑫通用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</si>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</sst>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workbookViewId="0">
      <selection activeCell="M7" sqref="M7"/>
    </sheetView>
  </sheetViews>
  <sheetFormatPr defaultRowHeight="14.4" x14ac:dyDescent="0.25"/>
  <cols>
    <col min="7" max="7" width="11.6640625" bestFit="1" customWidth="1"/>
    <col min="8" max="8" width="13.88671875" bestFit="1" customWidth="1"/>
    <col min="9" max="9" width="11.6640625" bestFit="1" customWidth="1"/>
    <col min="10" max="10" width="6.6640625" customWidth="1"/>
    <col min="11" max="11" width="11.6640625" bestFit="1" customWidth="1"/>
    <col min="12" max="12" width="16.109375" bestFit="1" customWidth="1"/>
    <col min="14" max="14" width="12.77734375" bestFit="1" customWidth="1"/>
    <col min="16" max="16" width="9.5546875" bestFit="1" customWidth="1"/>
    <col min="18" max="18" width="10.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352</v>
      </c>
      <c r="H1" s="2" t="s">
        <v>353</v>
      </c>
      <c r="I1" s="2" t="s">
        <v>354</v>
      </c>
      <c r="J1">
        <v>3.1</v>
      </c>
      <c r="K1" s="3" t="s">
        <v>355</v>
      </c>
      <c r="L1">
        <v>0</v>
      </c>
      <c r="M1" s="4" t="s">
        <v>356</v>
      </c>
      <c r="N1" s="5">
        <v>5000000</v>
      </c>
      <c r="O1" s="4" t="s">
        <v>357</v>
      </c>
      <c r="P1">
        <f>COUNTA(A2:A289)</f>
        <v>75</v>
      </c>
      <c r="Q1" t="s">
        <v>358</v>
      </c>
      <c r="R1" s="5">
        <f>N1/P1</f>
        <v>66666.666666666672</v>
      </c>
    </row>
    <row r="2" spans="1:18" x14ac:dyDescent="0.25">
      <c r="A2" t="s">
        <v>249</v>
      </c>
      <c r="B2" t="s">
        <v>250</v>
      </c>
      <c r="C2">
        <v>3.36</v>
      </c>
      <c r="D2" t="s">
        <v>251</v>
      </c>
      <c r="E2" t="s">
        <v>252</v>
      </c>
      <c r="F2" t="s">
        <v>253</v>
      </c>
      <c r="G2">
        <f t="shared" ref="G2:G44" si="0">$J$1-E2*($J$1-$L$1)/100</f>
        <v>0.41849999999999987</v>
      </c>
      <c r="H2" s="6">
        <f t="shared" ref="H2:H44" si="1">G2*$R$1</f>
        <v>27899.999999999993</v>
      </c>
      <c r="K2" t="s">
        <v>359</v>
      </c>
      <c r="L2" s="6">
        <f>SUM(H2:H289)</f>
        <v>9474488.6666666679</v>
      </c>
    </row>
    <row r="3" spans="1:18" x14ac:dyDescent="0.25">
      <c r="A3" t="s">
        <v>21</v>
      </c>
      <c r="B3" t="s">
        <v>22</v>
      </c>
      <c r="C3">
        <v>12.64</v>
      </c>
      <c r="D3" t="s">
        <v>23</v>
      </c>
      <c r="E3" t="s">
        <v>24</v>
      </c>
      <c r="F3" t="s">
        <v>25</v>
      </c>
      <c r="G3">
        <f t="shared" si="0"/>
        <v>0.51986999999999961</v>
      </c>
      <c r="H3" s="6">
        <f t="shared" si="1"/>
        <v>34657.999999999978</v>
      </c>
    </row>
    <row r="4" spans="1:18" x14ac:dyDescent="0.25">
      <c r="A4" t="s">
        <v>162</v>
      </c>
      <c r="B4" t="s">
        <v>22</v>
      </c>
      <c r="C4">
        <v>5.83</v>
      </c>
      <c r="D4" t="s">
        <v>163</v>
      </c>
      <c r="E4" t="s">
        <v>24</v>
      </c>
      <c r="F4" t="s">
        <v>164</v>
      </c>
      <c r="G4">
        <f t="shared" si="0"/>
        <v>0.51986999999999961</v>
      </c>
      <c r="H4" s="6">
        <f t="shared" si="1"/>
        <v>34657.999999999978</v>
      </c>
    </row>
    <row r="5" spans="1:18" x14ac:dyDescent="0.25">
      <c r="A5" t="s">
        <v>254</v>
      </c>
      <c r="B5" t="s">
        <v>255</v>
      </c>
      <c r="C5">
        <v>4.5</v>
      </c>
      <c r="D5" t="s">
        <v>256</v>
      </c>
      <c r="E5" t="s">
        <v>39</v>
      </c>
      <c r="F5" t="s">
        <v>257</v>
      </c>
      <c r="G5">
        <f t="shared" si="0"/>
        <v>0.42159999999999975</v>
      </c>
      <c r="H5" s="6">
        <f t="shared" si="1"/>
        <v>28106.666666666653</v>
      </c>
    </row>
    <row r="6" spans="1:18" x14ac:dyDescent="0.25">
      <c r="A6" t="s">
        <v>51</v>
      </c>
      <c r="B6" t="s">
        <v>52</v>
      </c>
      <c r="C6">
        <v>11.48</v>
      </c>
      <c r="D6" t="s">
        <v>8</v>
      </c>
      <c r="E6" t="s">
        <v>53</v>
      </c>
      <c r="F6" t="s">
        <v>54</v>
      </c>
      <c r="G6">
        <f t="shared" si="0"/>
        <v>0.47863999999999995</v>
      </c>
      <c r="H6" s="6">
        <f t="shared" si="1"/>
        <v>31909.333333333332</v>
      </c>
    </row>
    <row r="7" spans="1:18" x14ac:dyDescent="0.25">
      <c r="A7" t="s">
        <v>232</v>
      </c>
      <c r="B7" t="s">
        <v>233</v>
      </c>
      <c r="C7">
        <v>3.58</v>
      </c>
      <c r="D7" t="s">
        <v>8</v>
      </c>
      <c r="E7" t="s">
        <v>234</v>
      </c>
      <c r="F7" t="s">
        <v>235</v>
      </c>
      <c r="G7">
        <f t="shared" si="0"/>
        <v>0.61752000000000029</v>
      </c>
      <c r="H7" s="6">
        <f t="shared" si="1"/>
        <v>41168.000000000022</v>
      </c>
    </row>
    <row r="8" spans="1:18" x14ac:dyDescent="0.25">
      <c r="A8" t="s">
        <v>305</v>
      </c>
      <c r="B8" t="s">
        <v>233</v>
      </c>
      <c r="C8">
        <v>7.03</v>
      </c>
      <c r="D8" t="s">
        <v>306</v>
      </c>
      <c r="E8" t="s">
        <v>234</v>
      </c>
      <c r="F8" t="s">
        <v>307</v>
      </c>
      <c r="G8">
        <f t="shared" si="0"/>
        <v>0.61752000000000029</v>
      </c>
      <c r="H8" s="6">
        <f t="shared" si="1"/>
        <v>41168.000000000022</v>
      </c>
    </row>
    <row r="9" spans="1:18" x14ac:dyDescent="0.25">
      <c r="A9" t="s">
        <v>36</v>
      </c>
      <c r="B9" t="s">
        <v>37</v>
      </c>
      <c r="C9">
        <v>8.57</v>
      </c>
      <c r="D9" t="s">
        <v>38</v>
      </c>
      <c r="E9" t="s">
        <v>39</v>
      </c>
      <c r="F9" t="s">
        <v>40</v>
      </c>
      <c r="G9">
        <f t="shared" si="0"/>
        <v>0.42159999999999975</v>
      </c>
      <c r="H9" s="6">
        <f t="shared" si="1"/>
        <v>28106.666666666653</v>
      </c>
    </row>
    <row r="10" spans="1:18" x14ac:dyDescent="0.25">
      <c r="A10" t="s">
        <v>236</v>
      </c>
      <c r="B10" t="s">
        <v>37</v>
      </c>
      <c r="C10">
        <v>3.97</v>
      </c>
      <c r="D10" t="s">
        <v>237</v>
      </c>
      <c r="E10" t="s">
        <v>39</v>
      </c>
      <c r="F10" t="s">
        <v>238</v>
      </c>
      <c r="G10">
        <f t="shared" si="0"/>
        <v>0.42159999999999975</v>
      </c>
      <c r="H10" s="6">
        <f t="shared" si="1"/>
        <v>28106.666666666653</v>
      </c>
    </row>
    <row r="11" spans="1:18" x14ac:dyDescent="0.25">
      <c r="A11" t="s">
        <v>344</v>
      </c>
      <c r="B11" t="s">
        <v>37</v>
      </c>
      <c r="C11">
        <v>5.09</v>
      </c>
      <c r="D11" t="s">
        <v>345</v>
      </c>
      <c r="E11" t="s">
        <v>39</v>
      </c>
      <c r="F11" t="s">
        <v>346</v>
      </c>
      <c r="G11">
        <f t="shared" si="0"/>
        <v>0.42159999999999975</v>
      </c>
      <c r="H11" s="6">
        <f t="shared" si="1"/>
        <v>28106.666666666653</v>
      </c>
    </row>
    <row r="12" spans="1:18" x14ac:dyDescent="0.25">
      <c r="A12" t="s">
        <v>321</v>
      </c>
      <c r="B12" t="s">
        <v>322</v>
      </c>
      <c r="C12">
        <v>5.5</v>
      </c>
      <c r="D12" t="s">
        <v>323</v>
      </c>
      <c r="E12" t="s">
        <v>324</v>
      </c>
      <c r="F12" t="s">
        <v>325</v>
      </c>
      <c r="G12">
        <f t="shared" si="0"/>
        <v>0.39928000000000008</v>
      </c>
      <c r="H12" s="6">
        <f t="shared" si="1"/>
        <v>26618.666666666675</v>
      </c>
    </row>
    <row r="13" spans="1:18" x14ac:dyDescent="0.25">
      <c r="A13" t="s">
        <v>26</v>
      </c>
      <c r="B13" t="s">
        <v>27</v>
      </c>
      <c r="C13">
        <v>4.78</v>
      </c>
      <c r="D13" t="s">
        <v>28</v>
      </c>
      <c r="E13" t="s">
        <v>29</v>
      </c>
      <c r="F13" t="s">
        <v>30</v>
      </c>
      <c r="G13">
        <f t="shared" si="0"/>
        <v>0.35804999999999998</v>
      </c>
      <c r="H13" s="6">
        <f t="shared" si="1"/>
        <v>23870</v>
      </c>
    </row>
    <row r="14" spans="1:18" x14ac:dyDescent="0.25">
      <c r="A14" t="s">
        <v>144</v>
      </c>
      <c r="B14" t="s">
        <v>27</v>
      </c>
      <c r="C14">
        <v>9.18</v>
      </c>
      <c r="D14" t="s">
        <v>145</v>
      </c>
      <c r="E14" t="s">
        <v>29</v>
      </c>
      <c r="F14" t="s">
        <v>146</v>
      </c>
      <c r="G14">
        <f t="shared" si="0"/>
        <v>0.35804999999999998</v>
      </c>
      <c r="H14" s="6">
        <f t="shared" si="1"/>
        <v>23870</v>
      </c>
    </row>
    <row r="15" spans="1:18" x14ac:dyDescent="0.25">
      <c r="A15" t="s">
        <v>41</v>
      </c>
      <c r="B15" t="s">
        <v>42</v>
      </c>
      <c r="C15">
        <v>7.46</v>
      </c>
      <c r="D15" t="s">
        <v>43</v>
      </c>
      <c r="E15" t="s">
        <v>44</v>
      </c>
      <c r="F15" t="s">
        <v>45</v>
      </c>
      <c r="G15">
        <f t="shared" si="0"/>
        <v>0.37416999999999989</v>
      </c>
      <c r="H15" s="6">
        <f t="shared" si="1"/>
        <v>24944.666666666661</v>
      </c>
    </row>
    <row r="16" spans="1:18" x14ac:dyDescent="0.25">
      <c r="A16" t="s">
        <v>131</v>
      </c>
      <c r="B16" t="s">
        <v>42</v>
      </c>
      <c r="C16">
        <v>4.7</v>
      </c>
      <c r="D16" t="s">
        <v>132</v>
      </c>
      <c r="E16" t="s">
        <v>44</v>
      </c>
      <c r="F16" t="s">
        <v>133</v>
      </c>
      <c r="G16">
        <f t="shared" si="0"/>
        <v>0.37416999999999989</v>
      </c>
      <c r="H16" s="6">
        <f t="shared" si="1"/>
        <v>24944.666666666661</v>
      </c>
    </row>
    <row r="17" spans="1:8" x14ac:dyDescent="0.25">
      <c r="A17" t="s">
        <v>31</v>
      </c>
      <c r="B17" t="s">
        <v>32</v>
      </c>
      <c r="C17">
        <v>4.04</v>
      </c>
      <c r="D17" t="s">
        <v>33</v>
      </c>
      <c r="E17" t="s">
        <v>34</v>
      </c>
      <c r="F17" t="s">
        <v>35</v>
      </c>
      <c r="G17">
        <f t="shared" si="0"/>
        <v>1.1643600000000001</v>
      </c>
      <c r="H17" s="6">
        <f t="shared" si="1"/>
        <v>77624.000000000015</v>
      </c>
    </row>
    <row r="18" spans="1:8" x14ac:dyDescent="0.25">
      <c r="A18" t="s">
        <v>207</v>
      </c>
      <c r="B18" t="s">
        <v>208</v>
      </c>
      <c r="C18">
        <v>5.36</v>
      </c>
      <c r="D18" t="s">
        <v>209</v>
      </c>
      <c r="E18" t="s">
        <v>210</v>
      </c>
      <c r="F18" t="s">
        <v>211</v>
      </c>
      <c r="G18">
        <f t="shared" si="0"/>
        <v>1.1358400000000002</v>
      </c>
      <c r="H18" s="6">
        <f t="shared" si="1"/>
        <v>75722.666666666686</v>
      </c>
    </row>
    <row r="19" spans="1:8" x14ac:dyDescent="0.25">
      <c r="A19" t="s">
        <v>11</v>
      </c>
      <c r="B19" t="s">
        <v>12</v>
      </c>
      <c r="C19">
        <v>4.8099999999999996</v>
      </c>
      <c r="D19" t="s">
        <v>13</v>
      </c>
      <c r="E19" t="s">
        <v>14</v>
      </c>
      <c r="F19" t="s">
        <v>15</v>
      </c>
      <c r="G19">
        <f t="shared" si="0"/>
        <v>1.2945599999999999</v>
      </c>
      <c r="H19" s="6">
        <f t="shared" si="1"/>
        <v>86304</v>
      </c>
    </row>
    <row r="20" spans="1:8" x14ac:dyDescent="0.25">
      <c r="A20" t="s">
        <v>98</v>
      </c>
      <c r="B20" t="s">
        <v>99</v>
      </c>
      <c r="C20">
        <v>7.14</v>
      </c>
      <c r="D20" t="s">
        <v>100</v>
      </c>
      <c r="E20" t="s">
        <v>101</v>
      </c>
      <c r="F20" t="s">
        <v>102</v>
      </c>
      <c r="G20">
        <f t="shared" si="0"/>
        <v>1.4294100000000001</v>
      </c>
      <c r="H20" s="6">
        <f t="shared" si="1"/>
        <v>95294.000000000015</v>
      </c>
    </row>
    <row r="21" spans="1:8" x14ac:dyDescent="0.25">
      <c r="A21" t="s">
        <v>80</v>
      </c>
      <c r="B21" t="s">
        <v>81</v>
      </c>
      <c r="C21">
        <v>3.83</v>
      </c>
      <c r="D21" t="s">
        <v>82</v>
      </c>
      <c r="E21" t="s">
        <v>83</v>
      </c>
      <c r="F21" t="s">
        <v>84</v>
      </c>
      <c r="G21">
        <f t="shared" si="0"/>
        <v>1.4817999999999998</v>
      </c>
      <c r="H21" s="6">
        <f t="shared" si="1"/>
        <v>98786.666666666657</v>
      </c>
    </row>
    <row r="22" spans="1:8" x14ac:dyDescent="0.25">
      <c r="A22" t="s">
        <v>123</v>
      </c>
      <c r="B22" t="s">
        <v>124</v>
      </c>
      <c r="C22">
        <v>3.17</v>
      </c>
      <c r="D22" t="s">
        <v>125</v>
      </c>
      <c r="E22" t="s">
        <v>126</v>
      </c>
      <c r="F22" t="s">
        <v>127</v>
      </c>
      <c r="G22">
        <f t="shared" si="0"/>
        <v>2.3163200000000002</v>
      </c>
      <c r="H22" s="6">
        <f t="shared" si="1"/>
        <v>154421.33333333334</v>
      </c>
    </row>
    <row r="23" spans="1:8" x14ac:dyDescent="0.25">
      <c r="A23" t="s">
        <v>313</v>
      </c>
      <c r="B23" t="s">
        <v>124</v>
      </c>
      <c r="C23">
        <v>3.75</v>
      </c>
      <c r="D23" t="s">
        <v>314</v>
      </c>
      <c r="E23" t="s">
        <v>126</v>
      </c>
      <c r="F23" t="s">
        <v>315</v>
      </c>
      <c r="G23">
        <f t="shared" si="0"/>
        <v>2.3163200000000002</v>
      </c>
      <c r="H23" s="6">
        <f t="shared" si="1"/>
        <v>154421.33333333334</v>
      </c>
    </row>
    <row r="24" spans="1:8" x14ac:dyDescent="0.25">
      <c r="A24" t="s">
        <v>75</v>
      </c>
      <c r="B24" t="s">
        <v>76</v>
      </c>
      <c r="C24">
        <v>5.97</v>
      </c>
      <c r="D24" t="s">
        <v>77</v>
      </c>
      <c r="E24" t="s">
        <v>78</v>
      </c>
      <c r="F24" t="s">
        <v>79</v>
      </c>
      <c r="G24">
        <f t="shared" si="0"/>
        <v>2.3606500000000001</v>
      </c>
      <c r="H24" s="6">
        <f t="shared" si="1"/>
        <v>157376.66666666669</v>
      </c>
    </row>
    <row r="25" spans="1:8" x14ac:dyDescent="0.25">
      <c r="A25" t="s">
        <v>329</v>
      </c>
      <c r="B25" t="s">
        <v>330</v>
      </c>
      <c r="C25">
        <v>6.18</v>
      </c>
      <c r="D25" t="s">
        <v>331</v>
      </c>
      <c r="E25" t="s">
        <v>332</v>
      </c>
      <c r="F25" t="s">
        <v>333</v>
      </c>
      <c r="G25">
        <f t="shared" si="0"/>
        <v>2.4028100000000001</v>
      </c>
      <c r="H25" s="6">
        <f t="shared" si="1"/>
        <v>160187.33333333334</v>
      </c>
    </row>
    <row r="26" spans="1:8" x14ac:dyDescent="0.25">
      <c r="A26" t="s">
        <v>217</v>
      </c>
      <c r="B26" t="s">
        <v>218</v>
      </c>
      <c r="C26">
        <v>2.11</v>
      </c>
      <c r="D26" t="s">
        <v>219</v>
      </c>
      <c r="E26" t="s">
        <v>220</v>
      </c>
      <c r="F26" t="s">
        <v>221</v>
      </c>
      <c r="G26">
        <f t="shared" si="0"/>
        <v>2.3067099999999998</v>
      </c>
      <c r="H26" s="6">
        <f t="shared" si="1"/>
        <v>153780.66666666666</v>
      </c>
    </row>
    <row r="27" spans="1:8" x14ac:dyDescent="0.25">
      <c r="A27" t="s">
        <v>326</v>
      </c>
      <c r="B27" t="s">
        <v>218</v>
      </c>
      <c r="C27">
        <v>3.86</v>
      </c>
      <c r="D27" t="s">
        <v>327</v>
      </c>
      <c r="E27" t="s">
        <v>220</v>
      </c>
      <c r="F27" t="s">
        <v>328</v>
      </c>
      <c r="G27">
        <f t="shared" si="0"/>
        <v>2.3067099999999998</v>
      </c>
      <c r="H27" s="6">
        <f t="shared" si="1"/>
        <v>153780.66666666666</v>
      </c>
    </row>
    <row r="28" spans="1:8" x14ac:dyDescent="0.25">
      <c r="A28" t="s">
        <v>262</v>
      </c>
      <c r="B28" t="s">
        <v>263</v>
      </c>
      <c r="C28">
        <v>4.33</v>
      </c>
      <c r="D28" t="s">
        <v>264</v>
      </c>
      <c r="E28" t="s">
        <v>265</v>
      </c>
      <c r="F28" t="s">
        <v>266</v>
      </c>
      <c r="G28">
        <f t="shared" si="0"/>
        <v>2.3544499999999999</v>
      </c>
      <c r="H28" s="6">
        <f t="shared" si="1"/>
        <v>156963.33333333334</v>
      </c>
    </row>
    <row r="29" spans="1:8" x14ac:dyDescent="0.25">
      <c r="A29" t="s">
        <v>134</v>
      </c>
      <c r="B29" t="s">
        <v>135</v>
      </c>
      <c r="C29">
        <v>7.24</v>
      </c>
      <c r="D29" t="s">
        <v>136</v>
      </c>
      <c r="E29" t="s">
        <v>137</v>
      </c>
      <c r="F29" t="s">
        <v>138</v>
      </c>
      <c r="G29">
        <f t="shared" si="0"/>
        <v>2.4114900000000001</v>
      </c>
      <c r="H29" s="6">
        <f t="shared" si="1"/>
        <v>160766.00000000003</v>
      </c>
    </row>
    <row r="30" spans="1:8" x14ac:dyDescent="0.25">
      <c r="A30" t="s">
        <v>46</v>
      </c>
      <c r="B30" t="s">
        <v>47</v>
      </c>
      <c r="C30">
        <v>4.67</v>
      </c>
      <c r="D30" t="s">
        <v>48</v>
      </c>
      <c r="E30" t="s">
        <v>49</v>
      </c>
      <c r="F30" t="s">
        <v>50</v>
      </c>
      <c r="G30">
        <f t="shared" si="0"/>
        <v>2.7100200000000001</v>
      </c>
      <c r="H30" s="6">
        <f t="shared" si="1"/>
        <v>180668.00000000003</v>
      </c>
    </row>
    <row r="31" spans="1:8" x14ac:dyDescent="0.25">
      <c r="A31" t="s">
        <v>287</v>
      </c>
      <c r="B31" t="s">
        <v>288</v>
      </c>
      <c r="C31">
        <v>18</v>
      </c>
      <c r="D31" t="s">
        <v>289</v>
      </c>
      <c r="E31" t="s">
        <v>290</v>
      </c>
      <c r="F31" t="s">
        <v>291</v>
      </c>
      <c r="G31">
        <f t="shared" si="0"/>
        <v>2.65577</v>
      </c>
      <c r="H31" s="6">
        <f t="shared" si="1"/>
        <v>177051.33333333334</v>
      </c>
    </row>
    <row r="32" spans="1:8" x14ac:dyDescent="0.25">
      <c r="A32" t="s">
        <v>297</v>
      </c>
      <c r="B32" t="s">
        <v>288</v>
      </c>
      <c r="C32">
        <v>3.75</v>
      </c>
      <c r="D32" t="s">
        <v>298</v>
      </c>
      <c r="E32" t="s">
        <v>290</v>
      </c>
      <c r="F32" t="s">
        <v>299</v>
      </c>
      <c r="G32">
        <f t="shared" si="0"/>
        <v>2.65577</v>
      </c>
      <c r="H32" s="6">
        <f t="shared" si="1"/>
        <v>177051.33333333334</v>
      </c>
    </row>
    <row r="33" spans="1:8" x14ac:dyDescent="0.25">
      <c r="A33" t="s">
        <v>199</v>
      </c>
      <c r="B33" t="s">
        <v>200</v>
      </c>
      <c r="C33">
        <v>8.56</v>
      </c>
      <c r="D33" t="s">
        <v>201</v>
      </c>
      <c r="E33" t="s">
        <v>202</v>
      </c>
      <c r="F33" t="s">
        <v>203</v>
      </c>
      <c r="G33">
        <f t="shared" si="0"/>
        <v>2.5509900000000001</v>
      </c>
      <c r="H33" s="6">
        <f t="shared" si="1"/>
        <v>170066.00000000003</v>
      </c>
    </row>
    <row r="34" spans="1:8" x14ac:dyDescent="0.25">
      <c r="A34" t="s">
        <v>292</v>
      </c>
      <c r="B34" t="s">
        <v>293</v>
      </c>
      <c r="C34">
        <v>4.93</v>
      </c>
      <c r="D34" t="s">
        <v>294</v>
      </c>
      <c r="E34" t="s">
        <v>295</v>
      </c>
      <c r="F34" t="s">
        <v>296</v>
      </c>
      <c r="G34">
        <f t="shared" si="0"/>
        <v>2.5987299999999998</v>
      </c>
      <c r="H34" s="6">
        <f t="shared" si="1"/>
        <v>173248.66666666666</v>
      </c>
    </row>
    <row r="35" spans="1:8" x14ac:dyDescent="0.25">
      <c r="A35" t="s">
        <v>184</v>
      </c>
      <c r="B35" t="s">
        <v>185</v>
      </c>
      <c r="C35">
        <v>3.01</v>
      </c>
      <c r="D35" t="s">
        <v>186</v>
      </c>
      <c r="E35" t="s">
        <v>187</v>
      </c>
      <c r="F35" t="s">
        <v>188</v>
      </c>
      <c r="G35">
        <f t="shared" si="0"/>
        <v>2.8560300000000001</v>
      </c>
      <c r="H35" s="6">
        <f t="shared" si="1"/>
        <v>190402.00000000003</v>
      </c>
    </row>
    <row r="36" spans="1:8" x14ac:dyDescent="0.25">
      <c r="A36" t="s">
        <v>204</v>
      </c>
      <c r="B36" t="s">
        <v>185</v>
      </c>
      <c r="C36">
        <v>7.74</v>
      </c>
      <c r="D36" t="s">
        <v>205</v>
      </c>
      <c r="E36" t="s">
        <v>187</v>
      </c>
      <c r="F36" t="s">
        <v>206</v>
      </c>
      <c r="G36">
        <f t="shared" si="0"/>
        <v>2.8560300000000001</v>
      </c>
      <c r="H36" s="6">
        <f t="shared" si="1"/>
        <v>190402.00000000003</v>
      </c>
    </row>
    <row r="37" spans="1:8" x14ac:dyDescent="0.25">
      <c r="A37" t="s">
        <v>55</v>
      </c>
      <c r="B37" t="s">
        <v>56</v>
      </c>
      <c r="C37">
        <v>2.7</v>
      </c>
      <c r="D37" t="s">
        <v>57</v>
      </c>
      <c r="E37" t="s">
        <v>58</v>
      </c>
      <c r="F37" t="s">
        <v>59</v>
      </c>
      <c r="G37">
        <f t="shared" si="0"/>
        <v>2.8340200000000002</v>
      </c>
      <c r="H37" s="6">
        <f t="shared" si="1"/>
        <v>188934.66666666669</v>
      </c>
    </row>
    <row r="38" spans="1:8" x14ac:dyDescent="0.25">
      <c r="A38" t="s">
        <v>90</v>
      </c>
      <c r="B38" t="s">
        <v>56</v>
      </c>
      <c r="C38">
        <v>1.86</v>
      </c>
      <c r="D38" t="s">
        <v>91</v>
      </c>
      <c r="E38" t="s">
        <v>58</v>
      </c>
      <c r="F38" t="s">
        <v>92</v>
      </c>
      <c r="G38">
        <f t="shared" si="0"/>
        <v>2.8340200000000002</v>
      </c>
      <c r="H38" s="6">
        <f t="shared" si="1"/>
        <v>188934.66666666669</v>
      </c>
    </row>
    <row r="39" spans="1:8" x14ac:dyDescent="0.25">
      <c r="A39" t="s">
        <v>300</v>
      </c>
      <c r="B39" t="s">
        <v>301</v>
      </c>
      <c r="C39">
        <v>12.67</v>
      </c>
      <c r="D39" t="s">
        <v>302</v>
      </c>
      <c r="E39" t="s">
        <v>303</v>
      </c>
      <c r="F39" t="s">
        <v>304</v>
      </c>
      <c r="G39">
        <f t="shared" si="0"/>
        <v>2.80829</v>
      </c>
      <c r="H39" s="6">
        <f t="shared" si="1"/>
        <v>187219.33333333334</v>
      </c>
    </row>
    <row r="40" spans="1:8" x14ac:dyDescent="0.25">
      <c r="A40" t="s">
        <v>347</v>
      </c>
      <c r="B40" t="s">
        <v>348</v>
      </c>
      <c r="C40">
        <v>3.94</v>
      </c>
      <c r="D40" t="s">
        <v>349</v>
      </c>
      <c r="E40" t="s">
        <v>350</v>
      </c>
      <c r="F40" t="s">
        <v>351</v>
      </c>
      <c r="G40">
        <f t="shared" si="0"/>
        <v>2.7255199999999999</v>
      </c>
      <c r="H40" s="6">
        <f t="shared" si="1"/>
        <v>181701.33333333334</v>
      </c>
    </row>
    <row r="41" spans="1:8" x14ac:dyDescent="0.25">
      <c r="A41" t="s">
        <v>113</v>
      </c>
      <c r="B41" t="s">
        <v>114</v>
      </c>
      <c r="C41">
        <v>9.11</v>
      </c>
      <c r="D41" t="s">
        <v>115</v>
      </c>
      <c r="E41" t="s">
        <v>116</v>
      </c>
      <c r="F41" t="s">
        <v>117</v>
      </c>
      <c r="G41">
        <f t="shared" si="0"/>
        <v>2.9666999999999999</v>
      </c>
      <c r="H41" s="6">
        <f t="shared" si="1"/>
        <v>197780</v>
      </c>
    </row>
    <row r="42" spans="1:8" x14ac:dyDescent="0.25">
      <c r="A42" t="s">
        <v>16</v>
      </c>
      <c r="B42" t="s">
        <v>17</v>
      </c>
      <c r="C42">
        <v>1.67</v>
      </c>
      <c r="D42" t="s">
        <v>18</v>
      </c>
      <c r="E42" t="s">
        <v>19</v>
      </c>
      <c r="F42" t="s">
        <v>20</v>
      </c>
      <c r="G42">
        <f t="shared" si="0"/>
        <v>3.0937999999999999</v>
      </c>
      <c r="H42" s="6">
        <f t="shared" si="1"/>
        <v>206253.33333333334</v>
      </c>
    </row>
    <row r="43" spans="1:8" x14ac:dyDescent="0.25">
      <c r="A43" t="s">
        <v>282</v>
      </c>
      <c r="B43" t="s">
        <v>283</v>
      </c>
      <c r="C43">
        <v>4.08</v>
      </c>
      <c r="D43" t="s">
        <v>284</v>
      </c>
      <c r="E43" t="s">
        <v>285</v>
      </c>
      <c r="F43" t="s">
        <v>286</v>
      </c>
      <c r="G43">
        <f t="shared" si="0"/>
        <v>2.1014900000000001</v>
      </c>
      <c r="H43" s="6">
        <f t="shared" si="1"/>
        <v>140099.33333333334</v>
      </c>
    </row>
    <row r="44" spans="1:8" x14ac:dyDescent="0.25">
      <c r="A44" t="s">
        <v>189</v>
      </c>
      <c r="B44" t="s">
        <v>190</v>
      </c>
      <c r="C44">
        <v>4.28</v>
      </c>
      <c r="D44" t="s">
        <v>191</v>
      </c>
      <c r="E44" t="s">
        <v>192</v>
      </c>
      <c r="F44" t="s">
        <v>193</v>
      </c>
      <c r="G44">
        <f t="shared" si="0"/>
        <v>2.41242</v>
      </c>
      <c r="H44" s="6">
        <f t="shared" si="1"/>
        <v>160828</v>
      </c>
    </row>
    <row r="45" spans="1:8" x14ac:dyDescent="0.25">
      <c r="A45" t="s">
        <v>239</v>
      </c>
      <c r="B45" t="s">
        <v>240</v>
      </c>
      <c r="C45">
        <v>15.38</v>
      </c>
      <c r="D45" t="s">
        <v>241</v>
      </c>
      <c r="E45" t="s">
        <v>242</v>
      </c>
      <c r="F45" t="s">
        <v>243</v>
      </c>
      <c r="G45">
        <f t="shared" ref="G45:G76" si="2">$J$1-E45*($J$1-$L$1)/100</f>
        <v>0.10818999999999956</v>
      </c>
      <c r="H45" s="6">
        <f t="shared" ref="H45:H76" si="3">G45*$R$1</f>
        <v>7212.6666666666379</v>
      </c>
    </row>
    <row r="46" spans="1:8" x14ac:dyDescent="0.25">
      <c r="A46" t="s">
        <v>93</v>
      </c>
      <c r="B46" t="s">
        <v>94</v>
      </c>
      <c r="C46">
        <v>6.74</v>
      </c>
      <c r="D46" t="s">
        <v>95</v>
      </c>
      <c r="E46" t="s">
        <v>96</v>
      </c>
      <c r="F46" t="s">
        <v>97</v>
      </c>
      <c r="G46">
        <f t="shared" si="2"/>
        <v>0.29884000000000022</v>
      </c>
      <c r="H46" s="6">
        <f t="shared" si="3"/>
        <v>19922.666666666682</v>
      </c>
    </row>
    <row r="47" spans="1:8" x14ac:dyDescent="0.25">
      <c r="A47" t="s">
        <v>308</v>
      </c>
      <c r="B47" t="s">
        <v>309</v>
      </c>
      <c r="C47">
        <v>11.25</v>
      </c>
      <c r="D47" t="s">
        <v>310</v>
      </c>
      <c r="E47" t="s">
        <v>311</v>
      </c>
      <c r="F47" t="s">
        <v>312</v>
      </c>
      <c r="G47">
        <f t="shared" si="2"/>
        <v>0.80537999999999998</v>
      </c>
      <c r="H47" s="6">
        <f t="shared" si="3"/>
        <v>53692</v>
      </c>
    </row>
    <row r="48" spans="1:8" x14ac:dyDescent="0.25">
      <c r="A48" t="s">
        <v>194</v>
      </c>
      <c r="B48" t="s">
        <v>195</v>
      </c>
      <c r="C48">
        <v>3.1</v>
      </c>
      <c r="D48" t="s">
        <v>196</v>
      </c>
      <c r="E48" t="s">
        <v>197</v>
      </c>
      <c r="F48" t="s">
        <v>198</v>
      </c>
      <c r="G48">
        <f t="shared" si="2"/>
        <v>1.7477800000000001</v>
      </c>
      <c r="H48" s="6">
        <f t="shared" si="3"/>
        <v>116518.66666666669</v>
      </c>
    </row>
    <row r="49" spans="1:8" x14ac:dyDescent="0.25">
      <c r="A49" t="s">
        <v>334</v>
      </c>
      <c r="B49" t="s">
        <v>335</v>
      </c>
      <c r="C49">
        <v>2.4500000000000002</v>
      </c>
      <c r="D49" t="s">
        <v>336</v>
      </c>
      <c r="E49" t="s">
        <v>337</v>
      </c>
      <c r="F49" t="s">
        <v>338</v>
      </c>
      <c r="G49">
        <f t="shared" si="2"/>
        <v>2.19015</v>
      </c>
      <c r="H49" s="6">
        <f t="shared" si="3"/>
        <v>146010</v>
      </c>
    </row>
    <row r="50" spans="1:8" x14ac:dyDescent="0.25">
      <c r="A50" t="s">
        <v>244</v>
      </c>
      <c r="B50" t="s">
        <v>245</v>
      </c>
      <c r="C50">
        <v>6.65</v>
      </c>
      <c r="D50" t="s">
        <v>246</v>
      </c>
      <c r="E50" t="s">
        <v>247</v>
      </c>
      <c r="F50" t="s">
        <v>248</v>
      </c>
      <c r="G50">
        <f t="shared" si="2"/>
        <v>2.3432900000000001</v>
      </c>
      <c r="H50" s="6">
        <f t="shared" si="3"/>
        <v>156219.33333333334</v>
      </c>
    </row>
    <row r="51" spans="1:8" x14ac:dyDescent="0.25">
      <c r="A51" t="s">
        <v>170</v>
      </c>
      <c r="B51" t="s">
        <v>171</v>
      </c>
      <c r="C51">
        <v>6.58</v>
      </c>
      <c r="D51" t="s">
        <v>172</v>
      </c>
      <c r="E51" t="s">
        <v>173</v>
      </c>
      <c r="F51" t="s">
        <v>174</v>
      </c>
      <c r="G51">
        <f t="shared" si="2"/>
        <v>2.5959400000000001</v>
      </c>
      <c r="H51" s="6">
        <f t="shared" si="3"/>
        <v>173062.66666666669</v>
      </c>
    </row>
    <row r="52" spans="1:8" x14ac:dyDescent="0.25">
      <c r="A52" t="s">
        <v>147</v>
      </c>
      <c r="B52" t="s">
        <v>148</v>
      </c>
      <c r="C52">
        <v>4.29</v>
      </c>
      <c r="D52" t="s">
        <v>149</v>
      </c>
      <c r="E52" t="s">
        <v>150</v>
      </c>
      <c r="F52" t="s">
        <v>151</v>
      </c>
      <c r="G52">
        <f t="shared" si="2"/>
        <v>2.7233499999999999</v>
      </c>
      <c r="H52" s="6">
        <f t="shared" si="3"/>
        <v>181556.66666666669</v>
      </c>
    </row>
    <row r="53" spans="1:8" x14ac:dyDescent="0.25">
      <c r="A53" t="s">
        <v>103</v>
      </c>
      <c r="B53" t="s">
        <v>104</v>
      </c>
      <c r="C53">
        <v>6.67</v>
      </c>
      <c r="D53" t="s">
        <v>105</v>
      </c>
      <c r="E53" t="s">
        <v>106</v>
      </c>
      <c r="F53" t="s">
        <v>107</v>
      </c>
      <c r="G53">
        <f t="shared" si="2"/>
        <v>2.90191</v>
      </c>
      <c r="H53" s="6">
        <f t="shared" si="3"/>
        <v>193460.66666666669</v>
      </c>
    </row>
    <row r="54" spans="1:8" x14ac:dyDescent="0.25">
      <c r="A54" t="s">
        <v>222</v>
      </c>
      <c r="B54" t="s">
        <v>223</v>
      </c>
      <c r="C54">
        <v>12.09</v>
      </c>
      <c r="D54" t="s">
        <v>224</v>
      </c>
      <c r="E54" t="s">
        <v>225</v>
      </c>
      <c r="F54" t="s">
        <v>226</v>
      </c>
      <c r="G54">
        <f t="shared" si="2"/>
        <v>3.0234300000000003</v>
      </c>
      <c r="H54" s="6">
        <f t="shared" si="3"/>
        <v>201562.00000000003</v>
      </c>
    </row>
    <row r="55" spans="1:8" x14ac:dyDescent="0.25">
      <c r="A55" t="s">
        <v>139</v>
      </c>
      <c r="B55" t="s">
        <v>140</v>
      </c>
      <c r="C55">
        <v>6.65</v>
      </c>
      <c r="D55" t="s">
        <v>141</v>
      </c>
      <c r="E55" t="s">
        <v>142</v>
      </c>
      <c r="F55" t="s">
        <v>143</v>
      </c>
      <c r="G55">
        <f t="shared" si="2"/>
        <v>2.6948300000000001</v>
      </c>
      <c r="H55" s="6">
        <f t="shared" si="3"/>
        <v>179655.33333333334</v>
      </c>
    </row>
    <row r="56" spans="1:8" x14ac:dyDescent="0.25">
      <c r="A56" t="s">
        <v>85</v>
      </c>
      <c r="B56" t="s">
        <v>86</v>
      </c>
      <c r="C56">
        <v>14.95</v>
      </c>
      <c r="D56" t="s">
        <v>87</v>
      </c>
      <c r="E56" t="s">
        <v>88</v>
      </c>
      <c r="F56" t="s">
        <v>89</v>
      </c>
      <c r="G56">
        <f t="shared" si="2"/>
        <v>2.4493100000000001</v>
      </c>
      <c r="H56" s="6">
        <f t="shared" si="3"/>
        <v>163287.33333333334</v>
      </c>
    </row>
    <row r="57" spans="1:8" x14ac:dyDescent="0.25">
      <c r="A57" t="s">
        <v>65</v>
      </c>
      <c r="B57" t="s">
        <v>66</v>
      </c>
      <c r="C57">
        <v>7.91</v>
      </c>
      <c r="D57" t="s">
        <v>67</v>
      </c>
      <c r="E57" t="s">
        <v>68</v>
      </c>
      <c r="F57" t="s">
        <v>69</v>
      </c>
      <c r="G57">
        <f t="shared" si="2"/>
        <v>2.6759200000000001</v>
      </c>
      <c r="H57" s="6">
        <f t="shared" si="3"/>
        <v>178394.66666666669</v>
      </c>
    </row>
    <row r="58" spans="1:8" x14ac:dyDescent="0.25">
      <c r="A58" t="s">
        <v>267</v>
      </c>
      <c r="B58" t="s">
        <v>268</v>
      </c>
      <c r="C58">
        <v>22.08</v>
      </c>
      <c r="D58" t="s">
        <v>269</v>
      </c>
      <c r="E58" t="s">
        <v>270</v>
      </c>
      <c r="F58" t="s">
        <v>271</v>
      </c>
      <c r="G58">
        <f t="shared" si="2"/>
        <v>2.7459800000000003</v>
      </c>
      <c r="H58" s="6">
        <f t="shared" si="3"/>
        <v>183065.33333333337</v>
      </c>
    </row>
    <row r="59" spans="1:8" x14ac:dyDescent="0.25">
      <c r="A59" t="s">
        <v>339</v>
      </c>
      <c r="B59" t="s">
        <v>340</v>
      </c>
      <c r="C59">
        <v>22.19</v>
      </c>
      <c r="D59" t="s">
        <v>341</v>
      </c>
      <c r="E59" t="s">
        <v>342</v>
      </c>
      <c r="F59" t="s">
        <v>343</v>
      </c>
      <c r="G59">
        <f t="shared" si="2"/>
        <v>2.71095</v>
      </c>
      <c r="H59" s="6">
        <f t="shared" si="3"/>
        <v>180730</v>
      </c>
    </row>
    <row r="60" spans="1:8" x14ac:dyDescent="0.25">
      <c r="A60" t="s">
        <v>108</v>
      </c>
      <c r="B60" t="s">
        <v>109</v>
      </c>
      <c r="C60">
        <v>12.69</v>
      </c>
      <c r="D60" t="s">
        <v>110</v>
      </c>
      <c r="E60" t="s">
        <v>111</v>
      </c>
      <c r="F60" t="s">
        <v>112</v>
      </c>
      <c r="G60">
        <f t="shared" si="2"/>
        <v>2.9977</v>
      </c>
      <c r="H60" s="6">
        <f t="shared" si="3"/>
        <v>199846.66666666669</v>
      </c>
    </row>
    <row r="61" spans="1:8" x14ac:dyDescent="0.25">
      <c r="A61" t="s">
        <v>175</v>
      </c>
      <c r="B61" t="s">
        <v>176</v>
      </c>
      <c r="C61">
        <v>37.14</v>
      </c>
      <c r="D61" t="s">
        <v>8</v>
      </c>
      <c r="E61" t="s">
        <v>177</v>
      </c>
      <c r="F61" t="s">
        <v>178</v>
      </c>
      <c r="G61">
        <f t="shared" si="2"/>
        <v>2.8157300000000003</v>
      </c>
      <c r="H61" s="6">
        <f t="shared" si="3"/>
        <v>187715.33333333337</v>
      </c>
    </row>
    <row r="62" spans="1:8" x14ac:dyDescent="0.25">
      <c r="A62" t="s">
        <v>272</v>
      </c>
      <c r="B62" t="s">
        <v>273</v>
      </c>
      <c r="C62">
        <v>8.43</v>
      </c>
      <c r="D62" t="s">
        <v>274</v>
      </c>
      <c r="E62" t="s">
        <v>275</v>
      </c>
      <c r="F62" t="s">
        <v>276</v>
      </c>
      <c r="G62">
        <f t="shared" si="2"/>
        <v>3.0392399999999999</v>
      </c>
      <c r="H62" s="6">
        <f t="shared" si="3"/>
        <v>202616</v>
      </c>
    </row>
    <row r="63" spans="1:8" x14ac:dyDescent="0.25">
      <c r="A63" t="s">
        <v>277</v>
      </c>
      <c r="B63" t="s">
        <v>278</v>
      </c>
      <c r="C63">
        <v>7.65</v>
      </c>
      <c r="D63" t="s">
        <v>279</v>
      </c>
      <c r="E63" t="s">
        <v>280</v>
      </c>
      <c r="F63" t="s">
        <v>281</v>
      </c>
      <c r="G63">
        <f t="shared" si="2"/>
        <v>1.4876900000000002</v>
      </c>
      <c r="H63" s="6">
        <f t="shared" si="3"/>
        <v>99179.333333333358</v>
      </c>
    </row>
    <row r="64" spans="1:8" x14ac:dyDescent="0.25">
      <c r="A64" t="s">
        <v>227</v>
      </c>
      <c r="B64" t="s">
        <v>228</v>
      </c>
      <c r="C64">
        <v>15.32</v>
      </c>
      <c r="D64" t="s">
        <v>229</v>
      </c>
      <c r="E64" t="s">
        <v>230</v>
      </c>
      <c r="F64" t="s">
        <v>231</v>
      </c>
      <c r="G64">
        <f t="shared" si="2"/>
        <v>1.91859</v>
      </c>
      <c r="H64" s="6">
        <f t="shared" si="3"/>
        <v>127906.00000000001</v>
      </c>
    </row>
    <row r="65" spans="1:8" x14ac:dyDescent="0.25">
      <c r="A65" t="s">
        <v>70</v>
      </c>
      <c r="B65" t="s">
        <v>71</v>
      </c>
      <c r="C65">
        <v>21</v>
      </c>
      <c r="D65" t="s">
        <v>72</v>
      </c>
      <c r="E65" t="s">
        <v>73</v>
      </c>
      <c r="F65" t="s">
        <v>74</v>
      </c>
      <c r="G65">
        <f t="shared" si="2"/>
        <v>2.0497199999999998</v>
      </c>
      <c r="H65" s="6">
        <f t="shared" si="3"/>
        <v>136648</v>
      </c>
    </row>
    <row r="66" spans="1:8" x14ac:dyDescent="0.25">
      <c r="A66" t="s">
        <v>157</v>
      </c>
      <c r="B66" t="s">
        <v>158</v>
      </c>
      <c r="C66">
        <v>6.95</v>
      </c>
      <c r="D66" t="s">
        <v>159</v>
      </c>
      <c r="E66" t="s">
        <v>160</v>
      </c>
      <c r="F66" t="s">
        <v>161</v>
      </c>
      <c r="G66">
        <f t="shared" si="2"/>
        <v>2.28687</v>
      </c>
      <c r="H66" s="6">
        <f t="shared" si="3"/>
        <v>152458</v>
      </c>
    </row>
    <row r="67" spans="1:8" x14ac:dyDescent="0.25">
      <c r="A67" t="s">
        <v>152</v>
      </c>
      <c r="B67" t="s">
        <v>153</v>
      </c>
      <c r="C67">
        <v>2.74</v>
      </c>
      <c r="D67" t="s">
        <v>154</v>
      </c>
      <c r="E67" t="s">
        <v>155</v>
      </c>
      <c r="F67" t="s">
        <v>156</v>
      </c>
      <c r="G67">
        <f t="shared" si="2"/>
        <v>2.2955500000000004</v>
      </c>
      <c r="H67" s="6">
        <f t="shared" si="3"/>
        <v>153036.66666666672</v>
      </c>
    </row>
    <row r="68" spans="1:8" x14ac:dyDescent="0.25">
      <c r="A68" t="s">
        <v>316</v>
      </c>
      <c r="B68" t="s">
        <v>317</v>
      </c>
      <c r="C68">
        <v>7.52</v>
      </c>
      <c r="D68" t="s">
        <v>318</v>
      </c>
      <c r="E68" t="s">
        <v>319</v>
      </c>
      <c r="F68" t="s">
        <v>320</v>
      </c>
      <c r="G68">
        <f t="shared" si="2"/>
        <v>2.2220800000000001</v>
      </c>
      <c r="H68" s="6">
        <f t="shared" si="3"/>
        <v>148138.66666666669</v>
      </c>
    </row>
    <row r="69" spans="1:8" x14ac:dyDescent="0.25">
      <c r="A69" t="s">
        <v>118</v>
      </c>
      <c r="B69" t="s">
        <v>119</v>
      </c>
      <c r="C69">
        <v>6.72</v>
      </c>
      <c r="D69" t="s">
        <v>120</v>
      </c>
      <c r="E69" t="s">
        <v>121</v>
      </c>
      <c r="F69" t="s">
        <v>122</v>
      </c>
      <c r="G69">
        <f t="shared" si="2"/>
        <v>1.9220000000000002</v>
      </c>
      <c r="H69" s="6">
        <f t="shared" si="3"/>
        <v>128133.33333333336</v>
      </c>
    </row>
    <row r="70" spans="1:8" x14ac:dyDescent="0.25">
      <c r="A70" t="s">
        <v>128</v>
      </c>
      <c r="B70" t="s">
        <v>119</v>
      </c>
      <c r="C70">
        <v>73.52</v>
      </c>
      <c r="D70" t="s">
        <v>129</v>
      </c>
      <c r="E70" t="s">
        <v>121</v>
      </c>
      <c r="F70" t="s">
        <v>130</v>
      </c>
      <c r="G70">
        <f t="shared" si="2"/>
        <v>1.9220000000000002</v>
      </c>
      <c r="H70" s="6">
        <f t="shared" si="3"/>
        <v>128133.33333333336</v>
      </c>
    </row>
    <row r="71" spans="1:8" x14ac:dyDescent="0.25">
      <c r="A71" t="s">
        <v>60</v>
      </c>
      <c r="B71" t="s">
        <v>61</v>
      </c>
      <c r="C71">
        <v>1.58</v>
      </c>
      <c r="D71" t="s">
        <v>62</v>
      </c>
      <c r="E71" t="s">
        <v>63</v>
      </c>
      <c r="F71" t="s">
        <v>64</v>
      </c>
      <c r="G71">
        <f t="shared" si="2"/>
        <v>2.1101700000000001</v>
      </c>
      <c r="H71" s="6">
        <f t="shared" si="3"/>
        <v>140678.00000000003</v>
      </c>
    </row>
    <row r="72" spans="1:8" x14ac:dyDescent="0.25">
      <c r="A72" t="s">
        <v>258</v>
      </c>
      <c r="B72" t="s">
        <v>259</v>
      </c>
      <c r="C72">
        <v>3.78</v>
      </c>
      <c r="D72" t="s">
        <v>8</v>
      </c>
      <c r="E72" t="s">
        <v>260</v>
      </c>
      <c r="F72" t="s">
        <v>261</v>
      </c>
      <c r="G72">
        <f t="shared" si="2"/>
        <v>2.4902299999999999</v>
      </c>
      <c r="H72" s="6">
        <f t="shared" si="3"/>
        <v>166015.33333333334</v>
      </c>
    </row>
    <row r="73" spans="1:8" x14ac:dyDescent="0.25">
      <c r="A73" t="s">
        <v>212</v>
      </c>
      <c r="B73" t="s">
        <v>213</v>
      </c>
      <c r="C73">
        <v>49.95</v>
      </c>
      <c r="D73" t="s">
        <v>214</v>
      </c>
      <c r="E73" t="s">
        <v>215</v>
      </c>
      <c r="F73" t="s">
        <v>216</v>
      </c>
      <c r="G73">
        <f t="shared" si="2"/>
        <v>2.8541699999999999</v>
      </c>
      <c r="H73" s="6">
        <f t="shared" si="3"/>
        <v>190278</v>
      </c>
    </row>
    <row r="74" spans="1:8" x14ac:dyDescent="0.25">
      <c r="A74" t="s">
        <v>165</v>
      </c>
      <c r="B74" t="s">
        <v>166</v>
      </c>
      <c r="C74">
        <v>10.53</v>
      </c>
      <c r="D74" t="s">
        <v>167</v>
      </c>
      <c r="E74" t="s">
        <v>168</v>
      </c>
      <c r="F74" t="s">
        <v>169</v>
      </c>
      <c r="G74">
        <f t="shared" si="2"/>
        <v>2.8860999999999999</v>
      </c>
      <c r="H74" s="6">
        <f t="shared" si="3"/>
        <v>192406.66666666669</v>
      </c>
    </row>
    <row r="75" spans="1:8" x14ac:dyDescent="0.25">
      <c r="A75" t="s">
        <v>179</v>
      </c>
      <c r="B75" t="s">
        <v>180</v>
      </c>
      <c r="C75">
        <v>6.28</v>
      </c>
      <c r="D75" t="s">
        <v>181</v>
      </c>
      <c r="E75" t="s">
        <v>182</v>
      </c>
      <c r="F75" t="s">
        <v>183</v>
      </c>
      <c r="G75">
        <f t="shared" si="2"/>
        <v>1.20373</v>
      </c>
      <c r="H75" s="6">
        <f t="shared" si="3"/>
        <v>80248.666666666672</v>
      </c>
    </row>
    <row r="76" spans="1:8" x14ac:dyDescent="0.25">
      <c r="A76" t="s">
        <v>6</v>
      </c>
      <c r="B76" t="s">
        <v>7</v>
      </c>
      <c r="C76">
        <v>6.6</v>
      </c>
      <c r="D76" t="s">
        <v>8</v>
      </c>
      <c r="E76" t="s">
        <v>9</v>
      </c>
      <c r="F76" t="s">
        <v>10</v>
      </c>
      <c r="G76">
        <f t="shared" si="2"/>
        <v>0.93743999999999961</v>
      </c>
      <c r="H76" s="6">
        <f t="shared" si="3"/>
        <v>62495.999999999978</v>
      </c>
    </row>
  </sheetData>
  <sortState ref="A2:F76">
    <sortCondition ref="B1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2025-07-15T07:20:15Z</dcterms:created>
  <dcterms:modified xsi:type="dcterms:W3CDTF">2025-07-15T07:28:05Z</dcterms:modified>
</cp:coreProperties>
</file>