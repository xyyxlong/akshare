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8B499AC4-BD8D-4E73-A51F-A2D7D5231132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W1" i="1" l="1"/>
  <c r="V1" i="1"/>
  <c r="G4" i="1" l="1"/>
  <c r="G5" i="1"/>
  <c r="G12" i="1"/>
  <c r="G7" i="1" l="1"/>
  <c r="G6" i="1"/>
  <c r="G3" i="1"/>
  <c r="G2" i="1"/>
  <c r="G8" i="1"/>
  <c r="G9" i="1"/>
  <c r="G10" i="1"/>
  <c r="G11" i="1"/>
  <c r="P1" i="1"/>
  <c r="R1" i="1" s="1"/>
  <c r="H12" i="1" s="1"/>
  <c r="H4" i="1" l="1"/>
  <c r="H5" i="1"/>
  <c r="H2" i="1"/>
  <c r="H10" i="1"/>
  <c r="H8" i="1"/>
  <c r="H3" i="1"/>
  <c r="H6" i="1"/>
  <c r="H7" i="1"/>
  <c r="H9" i="1"/>
  <c r="H11" i="1"/>
  <c r="T1" i="1" l="1"/>
</calcChain>
</file>

<file path=xl/sharedStrings.xml><?xml version="1.0" encoding="utf-8"?>
<sst xmlns="http://schemas.openxmlformats.org/spreadsheetml/2006/main" count="62" uniqueCount="48">
  <si>
    <t>A股代码</t>
  </si>
  <si>
    <t>buydate</t>
  </si>
  <si>
    <t>price/pe</t>
  </si>
  <si>
    <t>dv_ratio</t>
  </si>
  <si>
    <t>300%</t>
  </si>
  <si>
    <t>名称</t>
  </si>
  <si>
    <t>002555</t>
  </si>
  <si>
    <t>10.3345</t>
  </si>
  <si>
    <t>2.0059</t>
  </si>
  <si>
    <t>0.41</t>
  </si>
  <si>
    <t>三七互娱</t>
  </si>
  <si>
    <t>10.8256</t>
  </si>
  <si>
    <t>2.0867</t>
  </si>
  <si>
    <t>5.08</t>
  </si>
  <si>
    <t>600036</t>
  </si>
  <si>
    <t>6.0386</t>
  </si>
  <si>
    <t>4.5136</t>
  </si>
  <si>
    <t>22.47</t>
  </si>
  <si>
    <t>招商银行</t>
  </si>
  <si>
    <t>5.6339</t>
  </si>
  <si>
    <t>4.8379</t>
  </si>
  <si>
    <t>12.23</t>
  </si>
  <si>
    <t>5.6767</t>
  </si>
  <si>
    <t>4.6845</t>
  </si>
  <si>
    <t>11.66</t>
  </si>
  <si>
    <t>601088</t>
  </si>
  <si>
    <t>7.7460</t>
  </si>
  <si>
    <t>9.4039</t>
  </si>
  <si>
    <t>7.42</t>
  </si>
  <si>
    <t>中国神华</t>
  </si>
  <si>
    <t>601919</t>
  </si>
  <si>
    <t>18.8229</t>
  </si>
  <si>
    <t>0.0000</t>
  </si>
  <si>
    <t>23.09</t>
  </si>
  <si>
    <t>中远海控</t>
  </si>
  <si>
    <t>17.5125</t>
  </si>
  <si>
    <t>17.76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</si>
  <si>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</si>
  <si>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</si>
  <si>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</si>
  <si>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</si>
  <si>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</si>
  <si>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</si>
  <si>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</si>
  <si>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</si>
  <si>
    <t>000333</t>
    <phoneticPr fontId="3" type="noConversion"/>
  </si>
  <si>
    <t>美的集团</t>
    <phoneticPr fontId="3" type="noConversion"/>
  </si>
  <si>
    <t>长江电力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</si>
</sst>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  <xf numFmtId="49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workbookViewId="0">
      <selection activeCell="L7" sqref="L7"/>
    </sheetView>
  </sheetViews>
  <sheetFormatPr defaultRowHeight="14.4" x14ac:dyDescent="0.25"/>
  <cols>
    <col min="2" max="2" width="9.5546875" bestFit="1" customWidth="1"/>
    <col min="7" max="7" width="11.6640625" bestFit="1" customWidth="1"/>
    <col min="8" max="8" width="16.109375" bestFit="1" customWidth="1"/>
    <col min="9" max="9" width="11.6640625" bestFit="1" customWidth="1"/>
    <col min="10" max="10" width="6.6640625" customWidth="1"/>
    <col min="11" max="11" width="11.6640625" bestFit="1" customWidth="1"/>
    <col min="12" max="12" width="16.109375" bestFit="1" customWidth="1"/>
    <col min="14" max="14" width="12.77734375" bestFit="1" customWidth="1"/>
    <col min="16" max="16" width="9.5546875" bestFit="1" customWidth="1"/>
    <col min="18" max="18" width="12.77734375" bestFit="1" customWidth="1"/>
    <col min="20" max="20" width="16.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37</v>
      </c>
      <c r="H1" s="2" t="s">
        <v>38</v>
      </c>
      <c r="I1" s="2" t="s">
        <v>39</v>
      </c>
      <c r="J1">
        <v>2</v>
      </c>
      <c r="K1" s="3" t="s">
        <v>40</v>
      </c>
      <c r="L1">
        <v>0</v>
      </c>
      <c r="M1" s="4" t="s">
        <v>41</v>
      </c>
      <c r="N1" s="5">
        <v>5000000</v>
      </c>
      <c r="O1" s="4" t="s">
        <v>42</v>
      </c>
      <c r="P1">
        <f>COUNTA(A2:A290)</f>
        <v>11</v>
      </c>
      <c r="Q1" t="s">
        <v>43</v>
      </c>
      <c r="R1" s="5">
        <f>N1/P1</f>
        <v>454545.45454545453</v>
      </c>
      <c r="S1" t="s">
        <v>44</v>
      </c>
      <c r="T1" s="6">
        <f>SUM(H2:H290)</f>
        <v>8720363.6363636367</v>
      </c>
      <c r="U1">
        <v>752</v>
      </c>
      <c r="V1">
        <f>U1*365/250</f>
        <v>1097.92</v>
      </c>
      <c r="W1">
        <f>V1/365</f>
        <v>3.008</v>
      </c>
    </row>
    <row r="2" spans="1:23" x14ac:dyDescent="0.25">
      <c r="A2" t="s">
        <v>30</v>
      </c>
      <c r="B2">
        <v>20180710</v>
      </c>
      <c r="C2" t="s">
        <v>31</v>
      </c>
      <c r="D2" t="s">
        <v>32</v>
      </c>
      <c r="E2" t="s">
        <v>33</v>
      </c>
      <c r="F2" t="s">
        <v>34</v>
      </c>
      <c r="G2">
        <f>$J$1-E2*($J$1-$L$1)/100</f>
        <v>1.5382</v>
      </c>
      <c r="H2" s="6">
        <f>G2*$R$1</f>
        <v>699181.81818181812</v>
      </c>
    </row>
    <row r="3" spans="1:23" x14ac:dyDescent="0.25">
      <c r="A3" t="s">
        <v>30</v>
      </c>
      <c r="B3">
        <v>20180814</v>
      </c>
      <c r="C3" t="s">
        <v>35</v>
      </c>
      <c r="D3" t="s">
        <v>32</v>
      </c>
      <c r="E3" t="s">
        <v>36</v>
      </c>
      <c r="F3" t="s">
        <v>34</v>
      </c>
      <c r="G3">
        <f>$J$1-E3*($J$1-$L$1)/100</f>
        <v>1.6448</v>
      </c>
      <c r="H3" s="6">
        <f>G3*$R$1</f>
        <v>747636.36363636365</v>
      </c>
    </row>
    <row r="4" spans="1:23" x14ac:dyDescent="0.25">
      <c r="A4" s="7">
        <v>600900</v>
      </c>
      <c r="B4">
        <v>20181122</v>
      </c>
      <c r="C4">
        <v>14.1646</v>
      </c>
      <c r="D4">
        <v>4.9381000000000004</v>
      </c>
      <c r="E4" t="s">
        <v>36</v>
      </c>
      <c r="F4" t="s">
        <v>47</v>
      </c>
      <c r="G4">
        <f>$J$1-E4*($J$1-$L$1)/100</f>
        <v>1.6448</v>
      </c>
      <c r="H4" s="6">
        <f>G4*$R$1</f>
        <v>747636.36363636365</v>
      </c>
    </row>
    <row r="5" spans="1:23" x14ac:dyDescent="0.25">
      <c r="A5" s="7" t="s">
        <v>45</v>
      </c>
      <c r="B5">
        <v>20220829</v>
      </c>
      <c r="C5">
        <v>12.4938</v>
      </c>
      <c r="D5">
        <v>3.0247999999999999</v>
      </c>
      <c r="E5" t="s">
        <v>9</v>
      </c>
      <c r="F5" t="s">
        <v>46</v>
      </c>
      <c r="G5">
        <f>$J$1-E5*($J$1-$L$1)/100</f>
        <v>1.9918</v>
      </c>
      <c r="H5" s="6">
        <f>G5*$R$1</f>
        <v>905363.63636363635</v>
      </c>
    </row>
    <row r="6" spans="1:23" x14ac:dyDescent="0.25">
      <c r="A6" t="s">
        <v>6</v>
      </c>
      <c r="B6">
        <v>20220928</v>
      </c>
      <c r="C6" t="s">
        <v>7</v>
      </c>
      <c r="D6" t="s">
        <v>8</v>
      </c>
      <c r="E6" t="s">
        <v>9</v>
      </c>
      <c r="F6" t="s">
        <v>10</v>
      </c>
      <c r="G6">
        <f>$J$1-E6*($J$1-$L$1)/100</f>
        <v>1.9918</v>
      </c>
      <c r="H6" s="6">
        <f>G6*$R$1</f>
        <v>905363.63636363635</v>
      </c>
    </row>
    <row r="7" spans="1:23" x14ac:dyDescent="0.25">
      <c r="A7" t="s">
        <v>6</v>
      </c>
      <c r="B7">
        <v>20221221</v>
      </c>
      <c r="C7" t="s">
        <v>11</v>
      </c>
      <c r="D7" t="s">
        <v>12</v>
      </c>
      <c r="E7" t="s">
        <v>13</v>
      </c>
      <c r="F7" t="s">
        <v>10</v>
      </c>
      <c r="G7">
        <f>$J$1-E7*($J$1-$L$1)/100</f>
        <v>1.8984000000000001</v>
      </c>
      <c r="H7" s="6">
        <f>G7*$R$1</f>
        <v>862909.09090909094</v>
      </c>
    </row>
    <row r="8" spans="1:23" x14ac:dyDescent="0.25">
      <c r="A8" t="s">
        <v>14</v>
      </c>
      <c r="B8">
        <v>20230615</v>
      </c>
      <c r="C8" t="s">
        <v>15</v>
      </c>
      <c r="D8" t="s">
        <v>16</v>
      </c>
      <c r="E8" t="s">
        <v>17</v>
      </c>
      <c r="F8" t="s">
        <v>18</v>
      </c>
      <c r="G8">
        <f>$J$1-E8*($J$1-$L$1)/100</f>
        <v>1.5506</v>
      </c>
      <c r="H8" s="6">
        <f>G8*$R$1</f>
        <v>704818.18181818177</v>
      </c>
    </row>
    <row r="9" spans="1:23" x14ac:dyDescent="0.25">
      <c r="A9" t="s">
        <v>14</v>
      </c>
      <c r="B9">
        <v>20230718</v>
      </c>
      <c r="C9" t="s">
        <v>19</v>
      </c>
      <c r="D9" t="s">
        <v>20</v>
      </c>
      <c r="E9" t="s">
        <v>21</v>
      </c>
      <c r="F9" t="s">
        <v>18</v>
      </c>
      <c r="G9">
        <f>$J$1-E9*($J$1-$L$1)/100</f>
        <v>1.7554000000000001</v>
      </c>
      <c r="H9" s="6">
        <f>G9*$R$1</f>
        <v>797909.09090909094</v>
      </c>
    </row>
    <row r="10" spans="1:23" x14ac:dyDescent="0.25">
      <c r="A10" t="s">
        <v>25</v>
      </c>
      <c r="B10">
        <v>20230821</v>
      </c>
      <c r="C10" t="s">
        <v>26</v>
      </c>
      <c r="D10" t="s">
        <v>27</v>
      </c>
      <c r="E10" t="s">
        <v>28</v>
      </c>
      <c r="F10" t="s">
        <v>29</v>
      </c>
      <c r="G10">
        <f>$J$1-E10*($J$1-$L$1)/100</f>
        <v>1.8515999999999999</v>
      </c>
      <c r="H10" s="6">
        <f>G10*$R$1</f>
        <v>841636.36363636353</v>
      </c>
    </row>
    <row r="11" spans="1:23" x14ac:dyDescent="0.25">
      <c r="A11" t="s">
        <v>14</v>
      </c>
      <c r="B11">
        <v>20231018</v>
      </c>
      <c r="C11" t="s">
        <v>22</v>
      </c>
      <c r="D11" t="s">
        <v>23</v>
      </c>
      <c r="E11" t="s">
        <v>24</v>
      </c>
      <c r="F11" t="s">
        <v>18</v>
      </c>
      <c r="G11">
        <f>$J$1-E11*($J$1-$L$1)/100</f>
        <v>1.7667999999999999</v>
      </c>
      <c r="H11" s="6">
        <f>G11*$R$1</f>
        <v>803090.90909090906</v>
      </c>
    </row>
    <row r="12" spans="1:23" x14ac:dyDescent="0.25">
      <c r="A12" s="7" t="s">
        <v>45</v>
      </c>
      <c r="B12">
        <v>20231130</v>
      </c>
      <c r="C12">
        <v>12.2538</v>
      </c>
      <c r="D12">
        <v>3.2204999999999999</v>
      </c>
      <c r="E12" t="s">
        <v>17</v>
      </c>
      <c r="F12" t="s">
        <v>46</v>
      </c>
      <c r="G12">
        <f>$J$1-E12*($J$1-$L$1)/100</f>
        <v>1.5506</v>
      </c>
      <c r="H12" s="6">
        <f>G12*$R$1</f>
        <v>704818.18181818177</v>
      </c>
    </row>
    <row r="13" spans="1:23" x14ac:dyDescent="0.25">
      <c r="H13" s="6"/>
    </row>
    <row r="14" spans="1:23" x14ac:dyDescent="0.25">
      <c r="H14" s="6"/>
    </row>
    <row r="15" spans="1:23" x14ac:dyDescent="0.25">
      <c r="H15" s="6"/>
    </row>
    <row r="16" spans="1:23" x14ac:dyDescent="0.25">
      <c r="H16" s="6"/>
    </row>
    <row r="17" spans="8:8" x14ac:dyDescent="0.25">
      <c r="H17" s="6"/>
    </row>
    <row r="18" spans="8:8" x14ac:dyDescent="0.25">
      <c r="H18" s="6"/>
    </row>
    <row r="19" spans="8:8" x14ac:dyDescent="0.25">
      <c r="H19" s="6"/>
    </row>
    <row r="20" spans="8:8" x14ac:dyDescent="0.25">
      <c r="H20" s="6"/>
    </row>
    <row r="21" spans="8:8" x14ac:dyDescent="0.25">
      <c r="H21" s="6"/>
    </row>
    <row r="22" spans="8:8" x14ac:dyDescent="0.25">
      <c r="H22" s="6"/>
    </row>
    <row r="23" spans="8:8" x14ac:dyDescent="0.25">
      <c r="H23" s="6"/>
    </row>
    <row r="24" spans="8:8" x14ac:dyDescent="0.25">
      <c r="H24" s="6"/>
    </row>
    <row r="25" spans="8:8" x14ac:dyDescent="0.25">
      <c r="H25" s="6"/>
    </row>
    <row r="26" spans="8:8" x14ac:dyDescent="0.25">
      <c r="H26" s="6"/>
    </row>
    <row r="27" spans="8:8" x14ac:dyDescent="0.25">
      <c r="H27" s="6"/>
    </row>
    <row r="28" spans="8:8" x14ac:dyDescent="0.25">
      <c r="H28" s="6"/>
    </row>
    <row r="29" spans="8:8" x14ac:dyDescent="0.25">
      <c r="H29" s="6"/>
    </row>
    <row r="30" spans="8:8" x14ac:dyDescent="0.25">
      <c r="H30" s="6"/>
    </row>
    <row r="31" spans="8:8" x14ac:dyDescent="0.25">
      <c r="H31" s="6"/>
    </row>
    <row r="32" spans="8:8" x14ac:dyDescent="0.25">
      <c r="H32" s="6"/>
    </row>
    <row r="33" spans="8:8" x14ac:dyDescent="0.25">
      <c r="H33" s="6"/>
    </row>
    <row r="34" spans="8:8" x14ac:dyDescent="0.25">
      <c r="H34" s="6"/>
    </row>
    <row r="35" spans="8:8" x14ac:dyDescent="0.25">
      <c r="H35" s="6"/>
    </row>
    <row r="36" spans="8:8" x14ac:dyDescent="0.25">
      <c r="H36" s="6"/>
    </row>
    <row r="37" spans="8:8" x14ac:dyDescent="0.25">
      <c r="H37" s="6"/>
    </row>
    <row r="38" spans="8:8" x14ac:dyDescent="0.25">
      <c r="H38" s="6"/>
    </row>
    <row r="39" spans="8:8" x14ac:dyDescent="0.25">
      <c r="H39" s="6"/>
    </row>
    <row r="40" spans="8:8" x14ac:dyDescent="0.25">
      <c r="H40" s="6"/>
    </row>
    <row r="41" spans="8:8" x14ac:dyDescent="0.25">
      <c r="H41" s="6"/>
    </row>
    <row r="42" spans="8:8" x14ac:dyDescent="0.25">
      <c r="H42" s="6"/>
    </row>
    <row r="43" spans="8:8" x14ac:dyDescent="0.25">
      <c r="H43" s="6"/>
    </row>
    <row r="44" spans="8:8" x14ac:dyDescent="0.25">
      <c r="H44" s="6"/>
    </row>
    <row r="45" spans="8:8" x14ac:dyDescent="0.25">
      <c r="H45" s="6"/>
    </row>
  </sheetData>
  <sortState ref="A2:W45">
    <sortCondition ref="B1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2025-07-16T11:50:57Z</dcterms:created>
  <dcterms:modified xsi:type="dcterms:W3CDTF">2025-07-17T04:24:24Z</dcterms:modified>
</cp:coreProperties>
</file>