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098AD088-CE9C-4D97-85C6-CBAEC098DCE2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信号列表" sheetId="1" r:id="rId1"/>
  </sheets>
  <calcPr calcId="191029"/>
</workbook>
</file>

<file path=xl/calcChain.xml><?xml version="1.0" encoding="utf-8"?>
<calcChain xmlns="http://schemas.openxmlformats.org/spreadsheetml/2006/main">
  <c r="G35" i="1" l="1"/>
  <c r="G26" i="1"/>
  <c r="G24" i="1"/>
  <c r="G8" i="1"/>
  <c r="G7" i="1"/>
  <c r="G21" i="1"/>
  <c r="G32" i="1"/>
  <c r="G15" i="1"/>
  <c r="G23" i="1"/>
  <c r="G27" i="1"/>
  <c r="G36" i="1"/>
  <c r="G29" i="1"/>
  <c r="G17" i="1"/>
  <c r="G19" i="1"/>
  <c r="G25" i="1"/>
  <c r="G37" i="1"/>
  <c r="G30" i="1"/>
  <c r="G34" i="1"/>
  <c r="G10" i="1"/>
  <c r="G22" i="1"/>
  <c r="G9" i="1"/>
  <c r="G16" i="1"/>
  <c r="G14" i="1"/>
  <c r="G6" i="1"/>
  <c r="G33" i="1"/>
  <c r="G38" i="1"/>
  <c r="G13" i="1"/>
  <c r="G5" i="1"/>
  <c r="G28" i="1"/>
  <c r="G12" i="1"/>
  <c r="G4" i="1"/>
  <c r="G18" i="1"/>
  <c r="G3" i="1"/>
  <c r="G11" i="1"/>
  <c r="G2" i="1"/>
  <c r="G20" i="1"/>
  <c r="G31" i="1"/>
  <c r="P1" i="1"/>
  <c r="R1" i="1" s="1"/>
  <c r="H23" i="1" l="1"/>
  <c r="H26" i="1"/>
  <c r="H14" i="1"/>
  <c r="H16" i="1"/>
  <c r="H20" i="1"/>
  <c r="H4" i="1"/>
  <c r="H27" i="1"/>
  <c r="H15" i="1"/>
  <c r="H38" i="1"/>
  <c r="H32" i="1"/>
  <c r="H22" i="1"/>
  <c r="H8" i="1"/>
  <c r="H10" i="1"/>
  <c r="H11" i="1"/>
  <c r="H3" i="1"/>
  <c r="H30" i="1"/>
  <c r="H18" i="1"/>
  <c r="H25" i="1"/>
  <c r="H12" i="1"/>
  <c r="H17" i="1"/>
  <c r="H7" i="1"/>
  <c r="H31" i="1"/>
  <c r="H9" i="1"/>
  <c r="H21" i="1"/>
  <c r="H2" i="1"/>
  <c r="H24" i="1"/>
  <c r="H34" i="1"/>
  <c r="H35" i="1"/>
  <c r="H37" i="1"/>
  <c r="H19" i="1"/>
  <c r="H28" i="1"/>
  <c r="H5" i="1"/>
  <c r="H29" i="1"/>
  <c r="H33" i="1"/>
  <c r="H6" i="1"/>
  <c r="H13" i="1"/>
  <c r="H36" i="1"/>
  <c r="T1" i="1" l="1"/>
</calcChain>
</file>

<file path=xl/sharedStrings.xml><?xml version="1.0" encoding="utf-8"?>
<sst xmlns="http://schemas.openxmlformats.org/spreadsheetml/2006/main" count="199" uniqueCount="163">
  <si>
    <t>A股代码</t>
  </si>
  <si>
    <t>buydate</t>
  </si>
  <si>
    <t>price/pe</t>
  </si>
  <si>
    <t>dv_ratio</t>
  </si>
  <si>
    <t>300%</t>
  </si>
  <si>
    <t>名称</t>
  </si>
  <si>
    <t>000672</t>
  </si>
  <si>
    <t>20240910</t>
  </si>
  <si>
    <t>5.6774</t>
  </si>
  <si>
    <t>11.55</t>
  </si>
  <si>
    <t>上峰水泥</t>
  </si>
  <si>
    <t>000717</t>
  </si>
  <si>
    <t>20240822</t>
  </si>
  <si>
    <t>1.8293</t>
  </si>
  <si>
    <t>44.92</t>
  </si>
  <si>
    <t>中南股份</t>
  </si>
  <si>
    <t>000789</t>
  </si>
  <si>
    <t>20240808</t>
  </si>
  <si>
    <t>5.6645</t>
  </si>
  <si>
    <t>36.95</t>
  </si>
  <si>
    <t>万年青</t>
  </si>
  <si>
    <t>000906</t>
  </si>
  <si>
    <t>20240815</t>
  </si>
  <si>
    <t>7.7829</t>
  </si>
  <si>
    <t>42.45</t>
  </si>
  <si>
    <t>浙商中拓</t>
  </si>
  <si>
    <t>002080</t>
  </si>
  <si>
    <t>5.8459</t>
  </si>
  <si>
    <t>中材科技</t>
  </si>
  <si>
    <t>002088</t>
  </si>
  <si>
    <t>20240821</t>
  </si>
  <si>
    <t>7.5222</t>
  </si>
  <si>
    <t>44.57</t>
  </si>
  <si>
    <t>鲁阳节能</t>
  </si>
  <si>
    <t>002110</t>
  </si>
  <si>
    <t>1.7142</t>
  </si>
  <si>
    <t>三钢闽光</t>
  </si>
  <si>
    <t>002216</t>
  </si>
  <si>
    <t>3.2081</t>
  </si>
  <si>
    <t>三全食品</t>
  </si>
  <si>
    <t>002242</t>
  </si>
  <si>
    <t>20240829</t>
  </si>
  <si>
    <t>2.9814</t>
  </si>
  <si>
    <t>26.24</t>
  </si>
  <si>
    <t>九阳股份</t>
  </si>
  <si>
    <t>002293</t>
  </si>
  <si>
    <t>8.0965</t>
  </si>
  <si>
    <t>罗莱生活</t>
  </si>
  <si>
    <t>002304</t>
  </si>
  <si>
    <t>4.7372</t>
  </si>
  <si>
    <t>洋河股份</t>
  </si>
  <si>
    <t>002372</t>
  </si>
  <si>
    <t>20250611</t>
  </si>
  <si>
    <t>8.0198</t>
  </si>
  <si>
    <t>93.54</t>
  </si>
  <si>
    <t>伟星新材</t>
  </si>
  <si>
    <t>002443</t>
  </si>
  <si>
    <t>20240911</t>
  </si>
  <si>
    <t>0.9634</t>
  </si>
  <si>
    <t>9.22</t>
  </si>
  <si>
    <t>金洲管道</t>
  </si>
  <si>
    <t>002677</t>
  </si>
  <si>
    <t>8.5165</t>
  </si>
  <si>
    <t>浙江美大</t>
  </si>
  <si>
    <t>002690</t>
  </si>
  <si>
    <t>4.8022</t>
  </si>
  <si>
    <t>美亚光电</t>
  </si>
  <si>
    <t>002705</t>
  </si>
  <si>
    <t>20240820</t>
  </si>
  <si>
    <t>3.2345</t>
  </si>
  <si>
    <t>45.39</t>
  </si>
  <si>
    <t>新宝股份</t>
  </si>
  <si>
    <t>002802</t>
  </si>
  <si>
    <t>20240814</t>
  </si>
  <si>
    <t>5.7121</t>
  </si>
  <si>
    <t>34.80</t>
  </si>
  <si>
    <t>洪汇新材</t>
  </si>
  <si>
    <t>002950</t>
  </si>
  <si>
    <t>20240823</t>
  </si>
  <si>
    <t>0.9494</t>
  </si>
  <si>
    <t>45.13</t>
  </si>
  <si>
    <t>奥美医疗</t>
  </si>
  <si>
    <t>300390</t>
  </si>
  <si>
    <t>9.2695</t>
  </si>
  <si>
    <t>天华新能</t>
  </si>
  <si>
    <t>300821</t>
  </si>
  <si>
    <t>20240918</t>
  </si>
  <si>
    <t>1.6367</t>
  </si>
  <si>
    <t>11.03</t>
  </si>
  <si>
    <t>东岳硅材</t>
  </si>
  <si>
    <t>600173</t>
  </si>
  <si>
    <t>20240909</t>
  </si>
  <si>
    <t>2.7701</t>
  </si>
  <si>
    <t>10.59</t>
  </si>
  <si>
    <t>卧龙新能</t>
  </si>
  <si>
    <t>600325</t>
  </si>
  <si>
    <t>20250526</t>
  </si>
  <si>
    <t>7.5356</t>
  </si>
  <si>
    <t>80.74</t>
  </si>
  <si>
    <t>华发股份</t>
  </si>
  <si>
    <t>600395</t>
  </si>
  <si>
    <t>20240826</t>
  </si>
  <si>
    <t>7.8095</t>
  </si>
  <si>
    <t>42.64</t>
  </si>
  <si>
    <t>盘江股份</t>
  </si>
  <si>
    <t>600438</t>
  </si>
  <si>
    <t>15.2426</t>
  </si>
  <si>
    <t>通威股份</t>
  </si>
  <si>
    <t>600507</t>
  </si>
  <si>
    <t>0.0000</t>
  </si>
  <si>
    <t>方大特钢</t>
  </si>
  <si>
    <t>600681</t>
  </si>
  <si>
    <t>20240906</t>
  </si>
  <si>
    <t>9.2593</t>
  </si>
  <si>
    <t>14.27</t>
  </si>
  <si>
    <t>百川能源</t>
  </si>
  <si>
    <t>600720</t>
  </si>
  <si>
    <t>20250117</t>
  </si>
  <si>
    <t>3.8928</t>
  </si>
  <si>
    <t>81.21</t>
  </si>
  <si>
    <t>中交设计</t>
  </si>
  <si>
    <t>600867</t>
  </si>
  <si>
    <t>20240827</t>
  </si>
  <si>
    <t>3.2124</t>
  </si>
  <si>
    <t>45.25</t>
  </si>
  <si>
    <t>通化东宝</t>
  </si>
  <si>
    <t>601636</t>
  </si>
  <si>
    <t>4.6621</t>
  </si>
  <si>
    <t>旗滨集团</t>
  </si>
  <si>
    <t>603010</t>
  </si>
  <si>
    <t>2.3068</t>
  </si>
  <si>
    <t>万盛股份</t>
  </si>
  <si>
    <t>603165</t>
  </si>
  <si>
    <t>4.5360</t>
  </si>
  <si>
    <t>荣晟环保</t>
  </si>
  <si>
    <t>603180</t>
  </si>
  <si>
    <t>4.3426</t>
  </si>
  <si>
    <t>金牌家居</t>
  </si>
  <si>
    <t>603208</t>
  </si>
  <si>
    <t>20240813</t>
  </si>
  <si>
    <t>8.7220</t>
  </si>
  <si>
    <t>37.83</t>
  </si>
  <si>
    <t>江山欧派</t>
  </si>
  <si>
    <t>603639</t>
  </si>
  <si>
    <t>8.7777</t>
  </si>
  <si>
    <t>海利尔</t>
  </si>
  <si>
    <t>603801</t>
  </si>
  <si>
    <t>5.0761</t>
  </si>
  <si>
    <t>志邦家居</t>
  </si>
  <si>
    <t>603858</t>
  </si>
  <si>
    <t>6.5306</t>
  </si>
  <si>
    <t>步长制药</t>
  </si>
  <si>
    <t>603916</t>
  </si>
  <si>
    <t>4.5230</t>
  </si>
  <si>
    <t>苏博特</t>
  </si>
  <si>
    <t>buy_k</t>
    <phoneticPr fontId="3" type="noConversion"/>
  </si>
  <si>
    <t>buymoney</t>
    <phoneticPr fontId="3" type="noConversion"/>
  </si>
  <si>
    <t>BUY_MAX_K</t>
    <phoneticPr fontId="3" type="noConversion"/>
  </si>
  <si>
    <t>BUY_MIN_K</t>
    <phoneticPr fontId="3" type="noConversion"/>
  </si>
  <si>
    <t>money</t>
    <phoneticPr fontId="3" type="noConversion"/>
  </si>
  <si>
    <t>buy_num</t>
    <phoneticPr fontId="3" type="noConversion"/>
  </si>
  <si>
    <t>av_money</t>
    <phoneticPr fontId="3" type="noConversion"/>
  </si>
  <si>
    <t>total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</si>
</sst>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176" fontId="0" fillId="0" borderId="0" xfId="1" applyNumberFormat="1" applyFont="1" applyAlignment="1"/>
    <xf numFmtId="43" fontId="0" fillId="0" borderId="0" xfId="0" applyNumberFormat="1"/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"/>
  <sheetViews>
    <sheetView tabSelected="1" workbookViewId="0">
      <selection activeCell="N10" sqref="N10"/>
    </sheetView>
  </sheetViews>
  <sheetFormatPr defaultRowHeight="14.4" x14ac:dyDescent="0.25"/>
  <cols>
    <col min="7" max="7" width="11.6640625" bestFit="1" customWidth="1"/>
    <col min="8" max="8" width="13.88671875" bestFit="1" customWidth="1"/>
    <col min="9" max="9" width="11.6640625" bestFit="1" customWidth="1"/>
    <col min="10" max="10" width="3.77734375" customWidth="1"/>
    <col min="11" max="11" width="11.6640625" bestFit="1" customWidth="1"/>
    <col min="12" max="12" width="4.5546875" bestFit="1" customWidth="1"/>
    <col min="13" max="13" width="7.109375" bestFit="1" customWidth="1"/>
    <col min="14" max="14" width="12.77734375" bestFit="1" customWidth="1"/>
    <col min="15" max="15" width="9.33203125" bestFit="1" customWidth="1"/>
    <col min="16" max="16" width="3.5546875" bestFit="1" customWidth="1"/>
    <col min="17" max="17" width="9.5546875" bestFit="1" customWidth="1"/>
    <col min="18" max="18" width="10.5546875" bestFit="1" customWidth="1"/>
    <col min="19" max="19" width="6.5546875" bestFit="1" customWidth="1"/>
    <col min="20" max="20" width="16.109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155</v>
      </c>
      <c r="H1" s="2" t="s">
        <v>156</v>
      </c>
      <c r="I1" s="2" t="s">
        <v>157</v>
      </c>
      <c r="J1">
        <v>1.7</v>
      </c>
      <c r="K1" s="3" t="s">
        <v>158</v>
      </c>
      <c r="L1">
        <v>0</v>
      </c>
      <c r="M1" s="4" t="s">
        <v>159</v>
      </c>
      <c r="N1" s="5">
        <v>5000000</v>
      </c>
      <c r="O1" s="4" t="s">
        <v>160</v>
      </c>
      <c r="P1">
        <f>COUNTA(A2:A300)</f>
        <v>37</v>
      </c>
      <c r="Q1" t="s">
        <v>161</v>
      </c>
      <c r="R1" s="5">
        <f>N1/P1</f>
        <v>135135.13513513515</v>
      </c>
      <c r="S1" t="s">
        <v>162</v>
      </c>
      <c r="T1" s="6">
        <f>SUM(H2:H300)</f>
        <v>5194395.9459459437</v>
      </c>
    </row>
    <row r="2" spans="1:20" x14ac:dyDescent="0.25">
      <c r="A2" t="s">
        <v>16</v>
      </c>
      <c r="B2" t="s">
        <v>17</v>
      </c>
      <c r="C2">
        <v>4.59</v>
      </c>
      <c r="D2" t="s">
        <v>18</v>
      </c>
      <c r="E2" t="s">
        <v>19</v>
      </c>
      <c r="F2" t="s">
        <v>20</v>
      </c>
      <c r="G2">
        <f>$J$1-E2*($J$1-$L$1)/100</f>
        <v>1.07185</v>
      </c>
      <c r="H2" s="6">
        <f>G2*$R$1</f>
        <v>144844.59459459462</v>
      </c>
    </row>
    <row r="3" spans="1:20" x14ac:dyDescent="0.25">
      <c r="A3" t="s">
        <v>26</v>
      </c>
      <c r="B3" t="s">
        <v>17</v>
      </c>
      <c r="C3">
        <v>11.07</v>
      </c>
      <c r="D3" t="s">
        <v>27</v>
      </c>
      <c r="E3" t="s">
        <v>19</v>
      </c>
      <c r="F3" t="s">
        <v>28</v>
      </c>
      <c r="G3">
        <f>$J$1-E3*($J$1-$L$1)/100</f>
        <v>1.07185</v>
      </c>
      <c r="H3" s="6">
        <f>G3*$R$1</f>
        <v>144844.59459459462</v>
      </c>
    </row>
    <row r="4" spans="1:20" x14ac:dyDescent="0.25">
      <c r="A4" t="s">
        <v>34</v>
      </c>
      <c r="B4" t="s">
        <v>17</v>
      </c>
      <c r="C4">
        <v>2.89</v>
      </c>
      <c r="D4" t="s">
        <v>35</v>
      </c>
      <c r="E4" t="s">
        <v>19</v>
      </c>
      <c r="F4" t="s">
        <v>36</v>
      </c>
      <c r="G4">
        <f>$J$1-E4*($J$1-$L$1)/100</f>
        <v>1.07185</v>
      </c>
      <c r="H4" s="6">
        <f>G4*$R$1</f>
        <v>144844.59459459462</v>
      </c>
    </row>
    <row r="5" spans="1:20" x14ac:dyDescent="0.25">
      <c r="A5" t="s">
        <v>45</v>
      </c>
      <c r="B5" t="s">
        <v>17</v>
      </c>
      <c r="C5">
        <v>6.89</v>
      </c>
      <c r="D5" t="s">
        <v>46</v>
      </c>
      <c r="E5" t="s">
        <v>19</v>
      </c>
      <c r="F5" t="s">
        <v>47</v>
      </c>
      <c r="G5">
        <f>$J$1-E5*($J$1-$L$1)/100</f>
        <v>1.07185</v>
      </c>
      <c r="H5" s="6">
        <f>G5*$R$1</f>
        <v>144844.59459459462</v>
      </c>
    </row>
    <row r="6" spans="1:20" x14ac:dyDescent="0.25">
      <c r="A6" t="s">
        <v>61</v>
      </c>
      <c r="B6" t="s">
        <v>17</v>
      </c>
      <c r="C6">
        <v>6.98</v>
      </c>
      <c r="D6" t="s">
        <v>62</v>
      </c>
      <c r="E6" t="s">
        <v>19</v>
      </c>
      <c r="F6" t="s">
        <v>63</v>
      </c>
      <c r="G6">
        <f>$J$1-E6*($J$1-$L$1)/100</f>
        <v>1.07185</v>
      </c>
      <c r="H6" s="6">
        <f>G6*$R$1</f>
        <v>144844.59459459462</v>
      </c>
    </row>
    <row r="7" spans="1:20" x14ac:dyDescent="0.25">
      <c r="A7" t="s">
        <v>138</v>
      </c>
      <c r="B7" t="s">
        <v>139</v>
      </c>
      <c r="C7">
        <v>17.32</v>
      </c>
      <c r="D7" t="s">
        <v>140</v>
      </c>
      <c r="E7" t="s">
        <v>141</v>
      </c>
      <c r="F7" t="s">
        <v>142</v>
      </c>
      <c r="G7">
        <f>$J$1-E7*($J$1-$L$1)/100</f>
        <v>1.0568900000000001</v>
      </c>
      <c r="H7" s="6">
        <f>G7*$R$1</f>
        <v>142822.97297297299</v>
      </c>
    </row>
    <row r="8" spans="1:20" x14ac:dyDescent="0.25">
      <c r="A8" t="s">
        <v>143</v>
      </c>
      <c r="B8" t="s">
        <v>139</v>
      </c>
      <c r="C8">
        <v>11.4</v>
      </c>
      <c r="D8" t="s">
        <v>144</v>
      </c>
      <c r="E8" t="s">
        <v>141</v>
      </c>
      <c r="F8" t="s">
        <v>145</v>
      </c>
      <c r="G8">
        <f>$J$1-E8*($J$1-$L$1)/100</f>
        <v>1.0568900000000001</v>
      </c>
      <c r="H8" s="6">
        <f>G8*$R$1</f>
        <v>142822.97297297299</v>
      </c>
    </row>
    <row r="9" spans="1:20" x14ac:dyDescent="0.25">
      <c r="A9" t="s">
        <v>72</v>
      </c>
      <c r="B9" t="s">
        <v>73</v>
      </c>
      <c r="C9">
        <v>7.96</v>
      </c>
      <c r="D9" t="s">
        <v>74</v>
      </c>
      <c r="E9" t="s">
        <v>75</v>
      </c>
      <c r="F9" t="s">
        <v>76</v>
      </c>
      <c r="G9">
        <f>$J$1-E9*($J$1-$L$1)/100</f>
        <v>1.1084000000000001</v>
      </c>
      <c r="H9" s="6">
        <f>G9*$R$1</f>
        <v>149783.78378378382</v>
      </c>
    </row>
    <row r="10" spans="1:20" x14ac:dyDescent="0.25">
      <c r="A10" t="s">
        <v>82</v>
      </c>
      <c r="B10" t="s">
        <v>73</v>
      </c>
      <c r="C10">
        <v>15.8</v>
      </c>
      <c r="D10" t="s">
        <v>83</v>
      </c>
      <c r="E10" t="s">
        <v>75</v>
      </c>
      <c r="F10" t="s">
        <v>84</v>
      </c>
      <c r="G10">
        <f>$J$1-E10*($J$1-$L$1)/100</f>
        <v>1.1084000000000001</v>
      </c>
      <c r="H10" s="6">
        <f>G10*$R$1</f>
        <v>149783.78378378382</v>
      </c>
    </row>
    <row r="11" spans="1:20" x14ac:dyDescent="0.25">
      <c r="A11" t="s">
        <v>21</v>
      </c>
      <c r="B11" t="s">
        <v>22</v>
      </c>
      <c r="C11">
        <v>6.04</v>
      </c>
      <c r="D11" t="s">
        <v>23</v>
      </c>
      <c r="E11" t="s">
        <v>24</v>
      </c>
      <c r="F11" t="s">
        <v>25</v>
      </c>
      <c r="G11">
        <f>$J$1-E11*($J$1-$L$1)/100</f>
        <v>0.97834999999999994</v>
      </c>
      <c r="H11" s="6">
        <f>G11*$R$1</f>
        <v>132209.45945945947</v>
      </c>
    </row>
    <row r="12" spans="1:20" x14ac:dyDescent="0.25">
      <c r="A12" t="s">
        <v>37</v>
      </c>
      <c r="B12" t="s">
        <v>22</v>
      </c>
      <c r="C12">
        <v>10.61</v>
      </c>
      <c r="D12" t="s">
        <v>38</v>
      </c>
      <c r="E12" t="s">
        <v>24</v>
      </c>
      <c r="F12" t="s">
        <v>39</v>
      </c>
      <c r="G12">
        <f>$J$1-E12*($J$1-$L$1)/100</f>
        <v>0.97834999999999994</v>
      </c>
      <c r="H12" s="6">
        <f>G12*$R$1</f>
        <v>132209.45945945947</v>
      </c>
    </row>
    <row r="13" spans="1:20" x14ac:dyDescent="0.25">
      <c r="A13" t="s">
        <v>48</v>
      </c>
      <c r="B13" t="s">
        <v>22</v>
      </c>
      <c r="C13">
        <v>74.3</v>
      </c>
      <c r="D13" t="s">
        <v>49</v>
      </c>
      <c r="E13" t="s">
        <v>24</v>
      </c>
      <c r="F13" t="s">
        <v>50</v>
      </c>
      <c r="G13">
        <f>$J$1-E13*($J$1-$L$1)/100</f>
        <v>0.97834999999999994</v>
      </c>
      <c r="H13" s="6">
        <f>G13*$R$1</f>
        <v>132209.45945945947</v>
      </c>
    </row>
    <row r="14" spans="1:20" x14ac:dyDescent="0.25">
      <c r="A14" t="s">
        <v>64</v>
      </c>
      <c r="B14" t="s">
        <v>22</v>
      </c>
      <c r="C14">
        <v>13.88</v>
      </c>
      <c r="D14" t="s">
        <v>65</v>
      </c>
      <c r="E14" t="s">
        <v>24</v>
      </c>
      <c r="F14" t="s">
        <v>66</v>
      </c>
      <c r="G14">
        <f>$J$1-E14*($J$1-$L$1)/100</f>
        <v>0.97834999999999994</v>
      </c>
      <c r="H14" s="6">
        <f>G14*$R$1</f>
        <v>132209.45945945947</v>
      </c>
    </row>
    <row r="15" spans="1:20" x14ac:dyDescent="0.25">
      <c r="A15" t="s">
        <v>129</v>
      </c>
      <c r="B15" t="s">
        <v>22</v>
      </c>
      <c r="C15">
        <v>8.59</v>
      </c>
      <c r="D15" t="s">
        <v>130</v>
      </c>
      <c r="E15" t="s">
        <v>24</v>
      </c>
      <c r="F15" t="s">
        <v>131</v>
      </c>
      <c r="G15">
        <f>$J$1-E15*($J$1-$L$1)/100</f>
        <v>0.97834999999999994</v>
      </c>
      <c r="H15" s="6">
        <f>G15*$R$1</f>
        <v>132209.45945945947</v>
      </c>
    </row>
    <row r="16" spans="1:20" x14ac:dyDescent="0.25">
      <c r="A16" t="s">
        <v>67</v>
      </c>
      <c r="B16" t="s">
        <v>68</v>
      </c>
      <c r="C16">
        <v>11.99</v>
      </c>
      <c r="D16" t="s">
        <v>69</v>
      </c>
      <c r="E16" t="s">
        <v>70</v>
      </c>
      <c r="F16" t="s">
        <v>71</v>
      </c>
      <c r="G16">
        <f>$J$1-E16*($J$1-$L$1)/100</f>
        <v>0.92837000000000003</v>
      </c>
      <c r="H16" s="6">
        <f>G16*$R$1</f>
        <v>125455.40540540541</v>
      </c>
    </row>
    <row r="17" spans="1:8" x14ac:dyDescent="0.25">
      <c r="A17" t="s">
        <v>108</v>
      </c>
      <c r="B17" t="s">
        <v>68</v>
      </c>
      <c r="C17">
        <v>3.82</v>
      </c>
      <c r="D17" t="s">
        <v>109</v>
      </c>
      <c r="E17" t="s">
        <v>70</v>
      </c>
      <c r="F17" t="s">
        <v>110</v>
      </c>
      <c r="G17">
        <f>$J$1-E17*($J$1-$L$1)/100</f>
        <v>0.92837000000000003</v>
      </c>
      <c r="H17" s="6">
        <f>G17*$R$1</f>
        <v>125455.40540540541</v>
      </c>
    </row>
    <row r="18" spans="1:8" x14ac:dyDescent="0.25">
      <c r="A18" t="s">
        <v>29</v>
      </c>
      <c r="B18" t="s">
        <v>30</v>
      </c>
      <c r="C18">
        <v>9.7200000000000006</v>
      </c>
      <c r="D18" t="s">
        <v>31</v>
      </c>
      <c r="E18" t="s">
        <v>32</v>
      </c>
      <c r="F18" t="s">
        <v>33</v>
      </c>
      <c r="G18">
        <f>$J$1-E18*($J$1-$L$1)/100</f>
        <v>0.94230999999999987</v>
      </c>
      <c r="H18" s="6">
        <f>G18*$R$1</f>
        <v>127339.18918918919</v>
      </c>
    </row>
    <row r="19" spans="1:8" x14ac:dyDescent="0.25">
      <c r="A19" t="s">
        <v>105</v>
      </c>
      <c r="B19" t="s">
        <v>30</v>
      </c>
      <c r="C19">
        <v>18.75</v>
      </c>
      <c r="D19" t="s">
        <v>106</v>
      </c>
      <c r="E19" t="s">
        <v>32</v>
      </c>
      <c r="F19" t="s">
        <v>107</v>
      </c>
      <c r="G19">
        <f>$J$1-E19*($J$1-$L$1)/100</f>
        <v>0.94230999999999987</v>
      </c>
      <c r="H19" s="6">
        <f>G19*$R$1</f>
        <v>127339.18918918919</v>
      </c>
    </row>
    <row r="20" spans="1:8" x14ac:dyDescent="0.25">
      <c r="A20" t="s">
        <v>11</v>
      </c>
      <c r="B20" t="s">
        <v>12</v>
      </c>
      <c r="C20">
        <v>1.64</v>
      </c>
      <c r="D20" t="s">
        <v>13</v>
      </c>
      <c r="E20" t="s">
        <v>14</v>
      </c>
      <c r="F20" t="s">
        <v>15</v>
      </c>
      <c r="G20">
        <f>$J$1-E20*($J$1-$L$1)/100</f>
        <v>0.93635999999999986</v>
      </c>
      <c r="H20" s="6">
        <f>G20*$R$1</f>
        <v>126535.13513513513</v>
      </c>
    </row>
    <row r="21" spans="1:8" x14ac:dyDescent="0.25">
      <c r="A21" t="s">
        <v>135</v>
      </c>
      <c r="B21" t="s">
        <v>12</v>
      </c>
      <c r="C21">
        <v>15.96</v>
      </c>
      <c r="D21" t="s">
        <v>136</v>
      </c>
      <c r="E21" t="s">
        <v>14</v>
      </c>
      <c r="F21" t="s">
        <v>137</v>
      </c>
      <c r="G21">
        <f>$J$1-E21*($J$1-$L$1)/100</f>
        <v>0.93635999999999986</v>
      </c>
      <c r="H21" s="6">
        <f>G21*$R$1</f>
        <v>126535.13513513513</v>
      </c>
    </row>
    <row r="22" spans="1:8" x14ac:dyDescent="0.25">
      <c r="A22" t="s">
        <v>77</v>
      </c>
      <c r="B22" t="s">
        <v>78</v>
      </c>
      <c r="C22">
        <v>6.26</v>
      </c>
      <c r="D22" t="s">
        <v>79</v>
      </c>
      <c r="E22" t="s">
        <v>80</v>
      </c>
      <c r="F22" t="s">
        <v>81</v>
      </c>
      <c r="G22">
        <f>$J$1-E22*($J$1-$L$1)/100</f>
        <v>0.9327899999999999</v>
      </c>
      <c r="H22" s="6">
        <f>G22*$R$1</f>
        <v>126052.70270270271</v>
      </c>
    </row>
    <row r="23" spans="1:8" x14ac:dyDescent="0.25">
      <c r="A23" t="s">
        <v>126</v>
      </c>
      <c r="B23" t="s">
        <v>78</v>
      </c>
      <c r="C23">
        <v>5.31</v>
      </c>
      <c r="D23" t="s">
        <v>127</v>
      </c>
      <c r="E23" t="s">
        <v>80</v>
      </c>
      <c r="F23" t="s">
        <v>128</v>
      </c>
      <c r="G23">
        <f>$J$1-E23*($J$1-$L$1)/100</f>
        <v>0.9327899999999999</v>
      </c>
      <c r="H23" s="6">
        <f>G23*$R$1</f>
        <v>126052.70270270271</v>
      </c>
    </row>
    <row r="24" spans="1:8" x14ac:dyDescent="0.25">
      <c r="A24" t="s">
        <v>146</v>
      </c>
      <c r="B24" t="s">
        <v>78</v>
      </c>
      <c r="C24">
        <v>9.25</v>
      </c>
      <c r="D24" t="s">
        <v>147</v>
      </c>
      <c r="E24" t="s">
        <v>80</v>
      </c>
      <c r="F24" t="s">
        <v>148</v>
      </c>
      <c r="G24">
        <f>$J$1-E24*($J$1-$L$1)/100</f>
        <v>0.9327899999999999</v>
      </c>
      <c r="H24" s="6">
        <f>G24*$R$1</f>
        <v>126052.70270270271</v>
      </c>
    </row>
    <row r="25" spans="1:8" x14ac:dyDescent="0.25">
      <c r="A25" t="s">
        <v>100</v>
      </c>
      <c r="B25" t="s">
        <v>101</v>
      </c>
      <c r="C25">
        <v>5.25</v>
      </c>
      <c r="D25" t="s">
        <v>102</v>
      </c>
      <c r="E25" t="s">
        <v>103</v>
      </c>
      <c r="F25" t="s">
        <v>104</v>
      </c>
      <c r="G25">
        <f>$J$1-E25*($J$1-$L$1)/100</f>
        <v>0.97511999999999999</v>
      </c>
      <c r="H25" s="6">
        <f>G25*$R$1</f>
        <v>131772.97297297299</v>
      </c>
    </row>
    <row r="26" spans="1:8" x14ac:dyDescent="0.25">
      <c r="A26" t="s">
        <v>149</v>
      </c>
      <c r="B26" t="s">
        <v>101</v>
      </c>
      <c r="C26">
        <v>14.7</v>
      </c>
      <c r="D26" t="s">
        <v>150</v>
      </c>
      <c r="E26" t="s">
        <v>103</v>
      </c>
      <c r="F26" t="s">
        <v>151</v>
      </c>
      <c r="G26">
        <f>$J$1-E26*($J$1-$L$1)/100</f>
        <v>0.97511999999999999</v>
      </c>
      <c r="H26" s="6">
        <f>G26*$R$1</f>
        <v>131772.97297297299</v>
      </c>
    </row>
    <row r="27" spans="1:8" x14ac:dyDescent="0.25">
      <c r="A27" t="s">
        <v>121</v>
      </c>
      <c r="B27" t="s">
        <v>122</v>
      </c>
      <c r="C27">
        <v>7.54</v>
      </c>
      <c r="D27" t="s">
        <v>123</v>
      </c>
      <c r="E27" t="s">
        <v>124</v>
      </c>
      <c r="F27" t="s">
        <v>125</v>
      </c>
      <c r="G27">
        <f>$J$1-E27*($J$1-$L$1)/100</f>
        <v>0.93074999999999997</v>
      </c>
      <c r="H27" s="6">
        <f>G27*$R$1</f>
        <v>125777.02702702704</v>
      </c>
    </row>
    <row r="28" spans="1:8" x14ac:dyDescent="0.25">
      <c r="A28" t="s">
        <v>40</v>
      </c>
      <c r="B28" t="s">
        <v>41</v>
      </c>
      <c r="C28">
        <v>9.86</v>
      </c>
      <c r="D28" t="s">
        <v>42</v>
      </c>
      <c r="E28" t="s">
        <v>43</v>
      </c>
      <c r="F28" t="s">
        <v>44</v>
      </c>
      <c r="G28">
        <f>$J$1-E28*($J$1-$L$1)/100</f>
        <v>1.2539199999999999</v>
      </c>
      <c r="H28" s="6">
        <f>G28*$R$1</f>
        <v>169448.64864864867</v>
      </c>
    </row>
    <row r="29" spans="1:8" x14ac:dyDescent="0.25">
      <c r="A29" t="s">
        <v>111</v>
      </c>
      <c r="B29" t="s">
        <v>112</v>
      </c>
      <c r="C29">
        <v>3.01</v>
      </c>
      <c r="D29" t="s">
        <v>113</v>
      </c>
      <c r="E29" t="s">
        <v>114</v>
      </c>
      <c r="F29" t="s">
        <v>115</v>
      </c>
      <c r="G29">
        <f>$J$1-E29*($J$1-$L$1)/100</f>
        <v>1.4574099999999999</v>
      </c>
      <c r="H29" s="6">
        <f>G29*$R$1</f>
        <v>196947.29729729731</v>
      </c>
    </row>
    <row r="30" spans="1:8" x14ac:dyDescent="0.25">
      <c r="A30" t="s">
        <v>90</v>
      </c>
      <c r="B30" t="s">
        <v>91</v>
      </c>
      <c r="C30">
        <v>3.61</v>
      </c>
      <c r="D30" t="s">
        <v>92</v>
      </c>
      <c r="E30" t="s">
        <v>93</v>
      </c>
      <c r="F30" t="s">
        <v>94</v>
      </c>
      <c r="G30">
        <f>$J$1-E30*($J$1-$L$1)/100</f>
        <v>1.51997</v>
      </c>
      <c r="H30" s="6">
        <f>G30*$R$1</f>
        <v>205401.35135135139</v>
      </c>
    </row>
    <row r="31" spans="1:8" x14ac:dyDescent="0.25">
      <c r="A31" t="s">
        <v>6</v>
      </c>
      <c r="B31" t="s">
        <v>7</v>
      </c>
      <c r="C31">
        <v>5.46</v>
      </c>
      <c r="D31" t="s">
        <v>8</v>
      </c>
      <c r="E31" t="s">
        <v>9</v>
      </c>
      <c r="F31" t="s">
        <v>10</v>
      </c>
      <c r="G31">
        <f>$J$1-E31*($J$1-$L$1)/100</f>
        <v>1.5036499999999999</v>
      </c>
      <c r="H31" s="6">
        <f>G31*$R$1</f>
        <v>203195.94594594595</v>
      </c>
    </row>
    <row r="32" spans="1:8" x14ac:dyDescent="0.25">
      <c r="A32" t="s">
        <v>132</v>
      </c>
      <c r="B32" t="s">
        <v>7</v>
      </c>
      <c r="C32">
        <v>9.3800000000000008</v>
      </c>
      <c r="D32" t="s">
        <v>133</v>
      </c>
      <c r="E32" t="s">
        <v>9</v>
      </c>
      <c r="F32" t="s">
        <v>134</v>
      </c>
      <c r="G32">
        <f>$J$1-E32*($J$1-$L$1)/100</f>
        <v>1.5036499999999999</v>
      </c>
      <c r="H32" s="6">
        <f>G32*$R$1</f>
        <v>203195.94594594595</v>
      </c>
    </row>
    <row r="33" spans="1:8" x14ac:dyDescent="0.25">
      <c r="A33" t="s">
        <v>56</v>
      </c>
      <c r="B33" t="s">
        <v>57</v>
      </c>
      <c r="C33">
        <v>4.99</v>
      </c>
      <c r="D33" t="s">
        <v>58</v>
      </c>
      <c r="E33" t="s">
        <v>59</v>
      </c>
      <c r="F33" t="s">
        <v>60</v>
      </c>
      <c r="G33">
        <f>$J$1-E33*($J$1-$L$1)/100</f>
        <v>1.5432599999999999</v>
      </c>
      <c r="H33" s="6">
        <f>G33*$R$1</f>
        <v>208548.64864864864</v>
      </c>
    </row>
    <row r="34" spans="1:8" x14ac:dyDescent="0.25">
      <c r="A34" t="s">
        <v>85</v>
      </c>
      <c r="B34" t="s">
        <v>86</v>
      </c>
      <c r="C34">
        <v>6.1</v>
      </c>
      <c r="D34" t="s">
        <v>87</v>
      </c>
      <c r="E34" t="s">
        <v>88</v>
      </c>
      <c r="F34" t="s">
        <v>89</v>
      </c>
      <c r="G34">
        <f>$J$1-E34*($J$1-$L$1)/100</f>
        <v>1.5124899999999999</v>
      </c>
      <c r="H34" s="6">
        <f>G34*$R$1</f>
        <v>204390.54054054053</v>
      </c>
    </row>
    <row r="35" spans="1:8" x14ac:dyDescent="0.25">
      <c r="A35" t="s">
        <v>152</v>
      </c>
      <c r="B35" t="s">
        <v>86</v>
      </c>
      <c r="C35">
        <v>6.34</v>
      </c>
      <c r="D35" t="s">
        <v>153</v>
      </c>
      <c r="E35" t="s">
        <v>88</v>
      </c>
      <c r="F35" t="s">
        <v>154</v>
      </c>
      <c r="G35">
        <f>$J$1-E35*($J$1-$L$1)/100</f>
        <v>1.5124899999999999</v>
      </c>
      <c r="H35" s="6">
        <f>G35*$R$1</f>
        <v>204390.54054054053</v>
      </c>
    </row>
    <row r="36" spans="1:8" x14ac:dyDescent="0.25">
      <c r="A36" t="s">
        <v>116</v>
      </c>
      <c r="B36" t="s">
        <v>117</v>
      </c>
      <c r="C36">
        <v>8.48</v>
      </c>
      <c r="D36" t="s">
        <v>118</v>
      </c>
      <c r="E36" t="s">
        <v>119</v>
      </c>
      <c r="F36" t="s">
        <v>120</v>
      </c>
      <c r="G36">
        <f>$J$1-E36*($J$1-$L$1)/100</f>
        <v>0.3194300000000001</v>
      </c>
      <c r="H36" s="6">
        <f>G36*$R$1</f>
        <v>43166.216216216235</v>
      </c>
    </row>
    <row r="37" spans="1:8" x14ac:dyDescent="0.25">
      <c r="A37" t="s">
        <v>95</v>
      </c>
      <c r="B37" t="s">
        <v>96</v>
      </c>
      <c r="C37">
        <v>4.91</v>
      </c>
      <c r="D37" t="s">
        <v>97</v>
      </c>
      <c r="E37" t="s">
        <v>98</v>
      </c>
      <c r="F37" t="s">
        <v>99</v>
      </c>
      <c r="G37">
        <f>$J$1-E37*($J$1-$L$1)/100</f>
        <v>0.32742000000000004</v>
      </c>
      <c r="H37" s="6">
        <f>G37*$R$1</f>
        <v>44245.945945945954</v>
      </c>
    </row>
    <row r="38" spans="1:8" x14ac:dyDescent="0.25">
      <c r="A38" t="s">
        <v>51</v>
      </c>
      <c r="B38" t="s">
        <v>52</v>
      </c>
      <c r="C38">
        <v>11.08</v>
      </c>
      <c r="D38" t="s">
        <v>53</v>
      </c>
      <c r="E38" t="s">
        <v>54</v>
      </c>
      <c r="F38" t="s">
        <v>55</v>
      </c>
      <c r="G38">
        <f>$J$1-E38*($J$1-$L$1)/100</f>
        <v>0.10982000000000003</v>
      </c>
      <c r="H38" s="6">
        <f>G38*$R$1</f>
        <v>14840.540540540545</v>
      </c>
    </row>
    <row r="39" spans="1:8" x14ac:dyDescent="0.25">
      <c r="H39" s="6"/>
    </row>
    <row r="40" spans="1:8" x14ac:dyDescent="0.25">
      <c r="H40" s="6"/>
    </row>
    <row r="41" spans="1:8" x14ac:dyDescent="0.25">
      <c r="H41" s="6"/>
    </row>
    <row r="42" spans="1:8" x14ac:dyDescent="0.25">
      <c r="H42" s="6"/>
    </row>
    <row r="43" spans="1:8" x14ac:dyDescent="0.25">
      <c r="H43" s="6"/>
    </row>
    <row r="44" spans="1:8" x14ac:dyDescent="0.25">
      <c r="H44" s="6"/>
    </row>
    <row r="45" spans="1:8" x14ac:dyDescent="0.25">
      <c r="H45" s="6"/>
    </row>
    <row r="46" spans="1:8" x14ac:dyDescent="0.25">
      <c r="H46" s="6"/>
    </row>
    <row r="47" spans="1:8" x14ac:dyDescent="0.25">
      <c r="H47" s="6"/>
    </row>
    <row r="48" spans="1:8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</sheetData>
  <sortState ref="A2:T55">
    <sortCondition ref="B1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2025-07-17T11:31:10Z</dcterms:created>
  <dcterms:modified xsi:type="dcterms:W3CDTF">2025-07-17T11:35:06Z</dcterms:modified>
</cp:coreProperties>
</file>